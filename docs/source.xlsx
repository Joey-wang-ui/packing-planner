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54e0ec394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bf440ffb8984936"/>
    <x:sheet xmlns:r="http://schemas.openxmlformats.org/officeDocument/2006/relationships" name="随身背包" sheetId="2" r:id="Rc3187601689b44ea"/>
    <x:sheet xmlns:r="http://schemas.openxmlformats.org/officeDocument/2006/relationships" name="26寸箱" sheetId="3" r:id="R8704e9b29c7d4319"/>
    <x:sheet xmlns:r="http://schemas.openxmlformats.org/officeDocument/2006/relationships" name="28寸箱" sheetId="4" r:id="R8daf4b76ecc8475b"/>
    <x:sheet xmlns:r="http://schemas.openxmlformats.org/officeDocument/2006/relationships" name="美国采购" sheetId="5" r:id="R1d0be02052334c8f"/>
    <x:sheet xmlns:r="http://schemas.openxmlformats.org/officeDocument/2006/relationships" name="出发检查" sheetId="6" r:id="R8f14a5b66370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&quot; kg&quot;"/>
    <x:numFmt numFmtId="202" formatCode="yyyy-mm-dd"/>
  </x:numFmts>
  <x:fonts count="17">
    <x:font>
      <x:sz val="11"/>
      <x:name val="Carlito"/>
    </x:font>
    <x:font>
      <x:b/>
      <x:sz val="17"/>
      <x:color rgb="FFFFFFFF"/>
      <x:name val="Carlito"/>
    </x:font>
    <x:font>
      <x:sz val="10"/>
      <x:color rgb="FF17324D"/>
      <x:name val="Carlito"/>
    </x:font>
    <x:font>
      <x:sz val="11"/>
      <x:color rgb="FF64748B"/>
      <x:name val="Carlito"/>
    </x:font>
    <x:font>
      <x:b/>
      <x:sz val="11"/>
      <x:name val="Carlito"/>
    </x:font>
    <x:font>
      <x:sz val="10"/>
      <x:color rgb="FF64748B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color rgb="FFFFFFFF"/>
      <x:name val="Carlito"/>
    </x:font>
    <x:font>
      <x:sz val="11"/>
      <x:color rgb="FFA62B31"/>
      <x:name val="Carlito"/>
    </x:font>
    <x:font>
      <x:b/>
      <x:sz val="21"/>
      <x:color rgb="FFFFFFFF"/>
      <x:name val="Carlito"/>
    </x:font>
    <x:font>
      <x:sz val="11"/>
      <x:color rgb="FFFFFFFF"/>
      <x:name val="Carlito"/>
    </x:font>
    <x:font>
      <x:sz val="12"/>
      <x:name val="Carlito"/>
    </x:font>
    <x:font>
      <x:sz val="12"/>
      <x:color rgb="FF64748B"/>
      <x:name val="Carlito"/>
    </x:font>
    <x:font>
      <x:b/>
      <x:sz val="12"/>
      <x:name val="Carlito"/>
    </x:font>
    <x:font>
      <x:b/>
      <x:sz val="17"/>
      <x:name val="Carlito"/>
    </x:font>
    <x:font>
      <x:b/>
      <x:sz val="11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CF2F8"/>
      </x:patternFill>
    </x:fill>
    <x:fill>
      <x:patternFill patternType="solid">
        <x:fgColor rgb="FF087F76"/>
      </x:patternFill>
    </x:fill>
    <x:fill>
      <x:patternFill patternType="solid">
        <x:fgColor rgb="FFFFF3D6"/>
      </x:patternFill>
    </x:fill>
    <x:fill>
      <x:patternFill patternType="solid">
        <x:fgColor rgb="FF0D2340"/>
      </x:patternFill>
    </x:fill>
    <x:fill>
      <x:patternFill patternType="solid">
        <x:fgColor rgb="FFE5F4F0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2" fillId="0" borderId="0" xfId="0" applyNumberFormat="1" applyFont="1" applyFill="1" applyBorder="1"/>
    <x:xf numFmtId="202" fontId="12" fillId="0" borderId="0" xfId="0" applyNumberFormat="1" applyFont="1" applyFill="1" applyBorder="1"/>
    <x:xf numFmtId="0" fontId="12" fillId="0" borderId="1" xfId="0" applyNumberFormat="1" applyFont="1" applyFill="1" applyBorder="1"/>
    <x:xf numFmtId="202" fontId="12" fillId="0" borderId="1" xfId="0" applyNumberFormat="1" applyFont="1" applyFill="1" applyBorder="1"/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200" fontId="12" fillId="0" borderId="0" xfId="0" applyNumberFormat="1" applyFont="1" applyFill="1" applyBorder="1"/>
    <x:xf numFmtId="200" fontId="12" fillId="0" borderId="1" xfId="0" applyNumberFormat="1" applyFont="1" applyFill="1" applyBorder="1"/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200" fontId="14" fillId="0" borderId="0" xfId="0" applyNumberFormat="1" applyFont="1" applyFill="1" applyBorder="1"/>
    <x:xf numFmtId="200" fontId="14" fillId="0" borderId="1" xfId="0" applyNumberFormat="1" applyFont="1" applyFill="1" applyBorder="1"/>
    <x:xf numFmtId="0" fontId="15" fillId="0" borderId="0" xfId="0" applyNumberFormat="1" applyFont="1" applyFill="1" applyBorder="1"/>
    <x:xf numFmtId="0" fontId="15" fillId="0" borderId="1" xfId="0" applyNumberFormat="1" applyFont="1" applyFill="1" applyBorder="1"/>
    <x:xf numFmtId="200" fontId="15" fillId="0" borderId="0" xfId="0" applyNumberFormat="1" applyFont="1" applyFill="1" applyBorder="1"/>
    <x:xf numFmtId="200" fontId="15" fillId="0" borderId="1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16" fillId="7" borderId="0" xfId="0" applyNumberFormat="1" applyFont="1" applyFill="1" applyBorder="1"/>
    <x:xf numFmtId="200" fontId="16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0" fontId="16" fillId="7" borderId="1" xfId="0" applyNumberFormat="1" applyFont="1" applyFill="1" applyBorder="1"/>
    <x:xf numFmtId="200" fontId="16" fillId="7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</x:cellXfs>
  <x:cellStyles count="1">
    <x:cellStyle name="Normal" xfId="0"/>
  </x:cellStyles>
  <x:dxfs count="17">
    <x:dxf>
      <x:font>
        <x:b/>
        <x:color rgb="FF00695D"/>
      </x:font>
      <x:fill>
        <x:patternFill patternType="solid">
          <x:bgColor rgb="FFE5F4F0"/>
        </x:patternFill>
      </x:fill>
    </x:dxf>
    <x:dxf>
      <x:font>
        <x:color rgb="FF8B5B13"/>
      </x:font>
      <x:fill>
        <x:patternFill patternType="solid">
          <x:bgColor rgb="FFFFF2D5"/>
        </x:patternFill>
      </x:fill>
    </x:dxf>
    <x:dxf>
      <x:font>
        <x:b/>
        <x:color rgb="FFA62B31"/>
      </x:font>
      <x:fill>
        <x:patternFill patternType="solid">
          <x:bgColor rgb="FFFFE8E6"/>
        </x:patternFill>
      </x:fill>
    </x:dxf>
    <x:dxf>
      <x:font>
        <x:b/>
        <x:color rgb="FF00695D"/>
      </x:font>
      <x:fill>
        <x:patternFill patternType="solid">
          <x:bgColor rgb="FFE5F4F0"/>
        </x:patternFill>
      </x:fill>
    </x:dxf>
    <x:dxf>
      <x:font>
        <x:color rgb="FF8B5B13"/>
      </x:font>
      <x:fill>
        <x:patternFill patternType="solid">
          <x:bgColor rgb="FFFFF2D5"/>
        </x:patternFill>
      </x:fill>
    </x:dxf>
    <x:dxf>
      <x:font>
        <x:b/>
        <x:color rgb="FFA62B31"/>
      </x:font>
      <x:fill>
        <x:patternFill patternType="solid">
          <x:bgColor rgb="FFFFE8E6"/>
        </x:patternFill>
      </x:fill>
    </x:dxf>
    <x:dxf>
      <x:font>
        <x:b/>
        <x:color rgb="FFB42318"/>
      </x:font>
      <x:fill>
        <x:patternFill patternType="solid">
          <x:bgColor rgb="FFFFE8E6"/>
        </x:patternFill>
      </x:fill>
    </x:dxf>
    <x:dxf>
      <x:font>
        <x:b/>
        <x:color rgb="FF00695D"/>
      </x:font>
      <x:fill>
        <x:patternFill patternType="solid">
          <x:bgColor rgb="FFE5F4F0"/>
        </x:patternFill>
      </x:fill>
    </x:dxf>
    <x:dxf>
      <x:font>
        <x:color rgb="FF8B5B13"/>
      </x:font>
      <x:fill>
        <x:patternFill patternType="solid">
          <x:bgColor rgb="FFFFF2D5"/>
        </x:patternFill>
      </x:fill>
    </x:dxf>
    <x:dxf>
      <x:font>
        <x:b/>
        <x:color rgb="FFA62B31"/>
      </x:font>
      <x:fill>
        <x:patternFill patternType="solid">
          <x:bgColor rgb="FFFFE8E6"/>
        </x:patternFill>
      </x:fill>
    </x:dxf>
    <x:dxf>
      <x:font>
        <x:b/>
        <x:color rgb="FFB42318"/>
      </x:font>
      <x:fill>
        <x:patternFill patternType="solid">
          <x:bgColor rgb="FFFFE8E6"/>
        </x:patternFill>
      </x:fill>
    </x:dxf>
    <x:dxf>
      <x:font>
        <x:b/>
        <x:color rgb="FF00695D"/>
      </x:font>
      <x:fill>
        <x:patternFill patternType="solid">
          <x:bgColor rgb="FFE5F4F0"/>
        </x:patternFill>
      </x:fill>
    </x:dxf>
    <x:dxf>
      <x:font>
        <x:color rgb="FF8B5B13"/>
      </x:font>
      <x:fill>
        <x:patternFill patternType="solid">
          <x:bgColor rgb="FFFFF2D5"/>
        </x:patternFill>
      </x:fill>
    </x:dxf>
    <x:dxf>
      <x:font>
        <x:b/>
        <x:color rgb="FFA62B31"/>
      </x:font>
      <x:fill>
        <x:patternFill patternType="solid">
          <x:bgColor rgb="FFFFE8E6"/>
        </x:patternFill>
      </x:fill>
    </x:dxf>
    <x:dxf>
      <x:font>
        <x:b/>
        <x:color rgb="FF00695D"/>
      </x:font>
      <x:fill>
        <x:patternFill patternType="solid">
          <x:bgColor rgb="FFE5F4F0"/>
        </x:patternFill>
      </x:fill>
    </x:dxf>
    <x:dxf>
      <x:font>
        <x:color rgb="FF8B5B13"/>
      </x:font>
      <x:fill>
        <x:patternFill patternType="solid">
          <x:bgColor rgb="FFFFF2D5"/>
        </x:patternFill>
      </x:fill>
    </x:dxf>
    <x:dxf>
      <x:font>
        <x:b/>
        <x:color rgb="FFA62B31"/>
      </x:font>
      <x:fill>
        <x:patternFill patternType="solid">
          <x:bgColor rgb="FFFF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a9e8e63be4a87" /><Relationship Type="http://schemas.openxmlformats.org/officeDocument/2006/relationships/theme" Target="/xl/theme/theme1.xml" Id="Re5c7521b19e849c4" /><Relationship Type="http://schemas.openxmlformats.org/officeDocument/2006/relationships/sharedStrings" Target="/xl/sharedStrings.xml" Id="R175bf8826df44adf" /><Relationship Type="http://schemas.openxmlformats.org/officeDocument/2006/relationships/worksheet" Target="/xl/worksheets/sheet1.xml" Id="R2bf440ffb8984936" /><Relationship Type="http://schemas.openxmlformats.org/officeDocument/2006/relationships/worksheet" Target="/xl/worksheets/sheet2.xml" Id="Rc3187601689b44ea" /><Relationship Type="http://schemas.openxmlformats.org/officeDocument/2006/relationships/worksheet" Target="/xl/worksheets/sheet3.xml" Id="R8704e9b29c7d4319" /><Relationship Type="http://schemas.openxmlformats.org/officeDocument/2006/relationships/worksheet" Target="/xl/worksheets/sheet4.xml" Id="R8daf4b76ecc8475b" /><Relationship Type="http://schemas.openxmlformats.org/officeDocument/2006/relationships/worksheet" Target="/xl/worksheets/sheet5.xml" Id="R1d0be02052334c8f" /><Relationship Type="http://schemas.openxmlformats.org/officeDocument/2006/relationships/worksheet" Target="/xl/worksheets/sheet6.xml" Id="R8f14a5b6637040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37" hidden="0" customWidth="1"/>
    <x:col min="5" max="5" width="19" hidden="0" customWidth="1"/>
    <x:col min="6" max="6" width="17" hidden="0" customWidth="1"/>
    <x:col min="7" max="7" width="17" hidden="0" customWidth="1"/>
    <x:col min="8" max="8" width="20" hidden="0" customWidth="1"/>
  </x:cols>
  <x:sheetData>
    <x:row r="1" ht="30" customHeight="1">
      <x:c r="A1" s="48" t="str">
        <x:v>USC 赴洛杉矶留学  |  行李准备总览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48"/>
      <x:c r="B2" s="48"/>
      <x:c r="C2" s="48"/>
      <x:c r="D2" s="48"/>
      <x:c r="E2" s="48"/>
      <x:c r="F2" s="48"/>
      <x:c r="G2" s="48"/>
      <x:c r="H2" s="48"/>
    </x:row>
    <x:row r="3" ht="28" customHeight="1">
      <x:c r="A3" s="52" t="str">
        <x:v>2026.12.22  出发   ·   校外公寓   ·   托运行李：26 寸 + 28 寸   ·   随身背包</x:v>
      </x:c>
      <x:c r="B3" s="52"/>
      <x:c r="C3" s="52"/>
      <x:c r="D3" s="52"/>
      <x:c r="E3" s="52"/>
      <x:c r="F3" s="52"/>
      <x:c r="G3" s="52"/>
      <x:c r="H3" s="52"/>
    </x:row>
    <x:row r="5" ht="30" customHeight="1">
      <x:c r="A5" s="60" t="str">
        <x:v>出发日期</x:v>
      </x:c>
      <x:c r="B5" s="57" t="n">
        <x:v>46378</x:v>
      </x:c>
      <x:c r="C5" s="56"/>
      <x:c r="D5" s="60" t="str">
        <x:v>距出发</x:v>
      </x:c>
      <x:c r="E5" s="56" t="n">
        <x:f>MAX(0,B5-TODAY())</x:f>
        <x:v>59</x:v>
      </x:c>
      <x:c r="F5" s="56" t="str">
        <x:v>天</x:v>
      </x:c>
      <x:c r="G5" s="56"/>
      <x:c r="H5" s="56"/>
    </x:row>
    <x:row r="6" ht="30" customHeight="1">
      <x:c r="A6" s="56"/>
      <x:c r="B6" s="56"/>
      <x:c r="C6" s="56"/>
      <x:c r="D6" s="56"/>
      <x:c r="E6" s="56"/>
      <x:c r="F6" s="56"/>
      <x:c r="G6" s="56"/>
      <x:c r="H6" s="56"/>
    </x:row>
    <x:row r="7" ht="30" customHeight="1">
      <x:c r="A7" s="60" t="str">
        <x:v>总物品数</x:v>
      </x:c>
      <x:c r="B7" s="68" t="n">
        <x:f>B16</x:f>
        <x:v>92</x:v>
      </x:c>
      <x:c r="C7" s="60" t="str">
        <x:v>已完成</x:v>
      </x:c>
      <x:c r="D7" s="68" t="n">
        <x:f>C16</x:f>
        <x:v>0</x:v>
      </x:c>
      <x:c r="E7" s="60" t="str">
        <x:v>总体进度</x:v>
      </x:c>
      <x:c r="F7" s="70" t="n">
        <x:f>E16</x:f>
        <x:v>0</x:v>
      </x:c>
      <x:c r="G7" s="56"/>
      <x:c r="H7" s="56"/>
    </x:row>
    <x:row r="10" ht="29" customHeight="1">
      <x:c r="A10" s="36" t="str">
        <x:v>清单类别</x:v>
      </x:c>
      <x:c r="B10" s="36" t="str">
        <x:v>总项数</x:v>
      </x:c>
      <x:c r="C10" s="36" t="str">
        <x:v>已完成</x:v>
      </x:c>
      <x:c r="D10" s="36" t="str">
        <x:v>待完成</x:v>
      </x:c>
      <x:c r="E10" s="36" t="str">
        <x:v>完成率</x:v>
      </x:c>
    </x:row>
    <x:row r="11" ht="27" customHeight="1">
      <x:c r="A11" t="str">
        <x:v>随身背包</x:v>
      </x:c>
      <x:c r="B11" t="n">
        <x:f>'随身背包'!B4</x:f>
        <x:v>18</x:v>
      </x:c>
      <x:c r="C11" t="n">
        <x:f>'随身背包'!D4</x:f>
        <x:v>0</x:v>
      </x:c>
      <x:c r="D11" t="n">
        <x:f>B11-C11</x:f>
        <x:v>18</x:v>
      </x:c>
      <x:c r="E11" s="16" t="n">
        <x:f>IFERROR(C11/B11,0)</x:f>
        <x:v>0</x:v>
      </x:c>
    </x:row>
    <x:row r="12" ht="27" customHeight="1">
      <x:c r="A12" t="str">
        <x:v>26寸箱</x:v>
      </x:c>
      <x:c r="B12" t="n">
        <x:f>'26寸箱'!B4</x:f>
        <x:v>20</x:v>
      </x:c>
      <x:c r="C12" t="n">
        <x:f>'26寸箱'!D4</x:f>
        <x:v>0</x:v>
      </x:c>
      <x:c r="D12" t="n">
        <x:f>B12-C12</x:f>
        <x:v>20</x:v>
      </x:c>
      <x:c r="E12" s="16" t="n">
        <x:f>IFERROR(C12/B12,0)</x:f>
        <x:v>0</x:v>
      </x:c>
    </x:row>
    <x:row r="13" ht="27" customHeight="1">
      <x:c r="A13" t="str">
        <x:v>28寸箱</x:v>
      </x:c>
      <x:c r="B13" t="n">
        <x:f>'28寸箱'!B4</x:f>
        <x:v>20</x:v>
      </x:c>
      <x:c r="C13" t="n">
        <x:f>'28寸箱'!D4</x:f>
        <x:v>0</x:v>
      </x:c>
      <x:c r="D13" t="n">
        <x:f>B13-C13</x:f>
        <x:v>20</x:v>
      </x:c>
      <x:c r="E13" s="16" t="n">
        <x:f>IFERROR(C13/B13,0)</x:f>
        <x:v>0</x:v>
      </x:c>
    </x:row>
    <x:row r="14" ht="27" customHeight="1">
      <x:c r="A14" t="str">
        <x:v>美国采购</x:v>
      </x:c>
      <x:c r="B14" t="n">
        <x:f>'美国采购'!B4</x:f>
        <x:v>19</x:v>
      </x:c>
      <x:c r="C14" t="n">
        <x:f>'美国采购'!D4</x:f>
        <x:v>0</x:v>
      </x:c>
      <x:c r="D14" t="n">
        <x:f>B14-C14</x:f>
        <x:v>19</x:v>
      </x:c>
      <x:c r="E14" s="16" t="n">
        <x:f>IFERROR(C14/B14,0)</x:f>
        <x:v>0</x:v>
      </x:c>
    </x:row>
    <x:row r="15" ht="27" customHeight="1">
      <x:c r="A15" t="str">
        <x:v>出发检查</x:v>
      </x:c>
      <x:c r="B15" t="n">
        <x:f>'出发检查'!B4</x:f>
        <x:v>15</x:v>
      </x:c>
      <x:c r="C15" t="n">
        <x:f>'出发检查'!D4</x:f>
        <x:v>0</x:v>
      </x:c>
      <x:c r="D15" t="n">
        <x:f>B15-C15</x:f>
        <x:v>15</x:v>
      </x:c>
      <x:c r="E15" s="16" t="n">
        <x:f>IFERROR(C15/B15,0)</x:f>
        <x:v>0</x:v>
      </x:c>
    </x:row>
    <x:row r="16" ht="31" customHeight="1">
      <x:c r="A16" s="74" t="str">
        <x:v>总计</x:v>
      </x:c>
      <x:c r="B16" s="74" t="n">
        <x:f>SUM(B11:B15)</x:f>
        <x:v>92</x:v>
      </x:c>
      <x:c r="C16" s="74" t="n">
        <x:f>SUM(C11:C15)</x:f>
        <x:v>0</x:v>
      </x:c>
      <x:c r="D16" s="74" t="n">
        <x:f>SUM(D11:D15)</x:f>
        <x:v>92</x:v>
      </x:c>
      <x:c r="E16" s="75" t="n">
        <x:f>IFERROR(C16/B16,0)</x:f>
        <x:v>0</x:v>
      </x:c>
    </x:row>
    <x:row r="19" ht="30" customHeight="1">
      <x:c r="A19" s="36" t="str">
        <x:v>📌 使用说明</x:v>
      </x:c>
      <x:c r="B19" s="36"/>
      <x:c r="C19" s="36"/>
      <x:c r="D19" s="36"/>
      <x:c r="E19" s="36"/>
      <x:c r="F19" s="36"/>
      <x:c r="G19" s="36"/>
      <x:c r="H19" s="36"/>
    </x:row>
    <x:row r="20" ht="29" customHeight="1">
      <x:c r="A20" s="81" t="str">
        <x:v>1. 点击下方任一工作表，在 E 列选择「未开始 / 准备中 / 已完成」，总览完成率将自动更新。</x:v>
      </x:c>
      <x:c r="B20" s="81"/>
      <x:c r="C20" s="81"/>
      <x:c r="D20" s="81"/>
      <x:c r="E20" s="81"/>
      <x:c r="F20" s="81"/>
      <x:c r="G20" s="81"/>
      <x:c r="H20" s="81"/>
    </x:row>
    <x:row r="21" ht="29" customHeight="1">
      <x:c r="A21" s="81" t="str">
        <x:v>2. P0 为出发必备，P1 为建议携带，P2 为可选。先完成 P0，再根据余量安排 P1 / P2。</x:v>
      </x:c>
      <x:c r="B21" s="81"/>
      <x:c r="C21" s="81"/>
      <x:c r="D21" s="81"/>
      <x:c r="E21" s="81"/>
      <x:c r="F21" s="81"/>
      <x:c r="G21" s="81"/>
      <x:c r="H21" s="81"/>
    </x:row>
    <x:row r="22" ht="29" customHeight="1">
      <x:c r="A22" s="81" t="str">
        <x:v>3. 26 寸与 28 寸页右上角可填写实际重量；23 kg 仅为常见经济舱参考值，不代表你航班的免费额度。</x:v>
      </x:c>
      <x:c r="B22" s="81"/>
      <x:c r="C22" s="81"/>
      <x:c r="D22" s="81"/>
      <x:c r="E22" s="81"/>
      <x:c r="F22" s="81"/>
      <x:c r="G22" s="81"/>
      <x:c r="H22" s="81"/>
    </x:row>
    <x:row r="23" ht="29" customHeight="1">
      <x:c r="A23" s="81" t="str">
        <x:v>4. 28 寸行李箱必须测量包含轮子和把手的外部尺寸；部分箱子可能超出航司标准三边和。</x:v>
      </x:c>
      <x:c r="B23" s="81"/>
      <x:c r="C23" s="81"/>
      <x:c r="D23" s="81"/>
      <x:c r="E23" s="81"/>
      <x:c r="F23" s="81"/>
      <x:c r="G23" s="81"/>
      <x:c r="H23" s="81"/>
    </x:row>
    <x:row r="24" ht="29" customHeight="1">
      <x:c r="A24" s="81" t="str">
        <x:v>5. 先核对 I-20 允许入境日期及公寓是否配家具；后者会影响美国落地采购清单。</x:v>
      </x:c>
      <x:c r="B24" s="81"/>
      <x:c r="C24" s="81"/>
      <x:c r="D24" s="81"/>
      <x:c r="E24" s="81"/>
      <x:c r="F24" s="81"/>
      <x:c r="G24" s="81"/>
      <x:c r="H24" s="81"/>
    </x:row>
    <x:row r="25" ht="29" customHeight="1">
      <x:c r="A25" s="81" t="str">
        <x:v>6. 充电宝和备用锂电池只能随身携带；托运行李内液体、药品与食品需符合相关规定。</x:v>
      </x:c>
      <x:c r="B25" s="81"/>
      <x:c r="C25" s="81"/>
      <x:c r="D25" s="81"/>
      <x:c r="E25" s="81"/>
      <x:c r="F25" s="81"/>
      <x:c r="G25" s="81"/>
      <x:c r="H25" s="81"/>
    </x:row>
    <x:row r="27" ht="27" customHeight="1">
      <x:c r="A27" s="84" t="str">
        <x:v>箱子</x:v>
      </x:c>
      <x:c r="B27" s="84" t="str">
        <x:v>计划重量</x:v>
      </x:c>
      <x:c r="C27" s="84" t="str">
        <x:v>实际称重</x:v>
      </x:c>
      <x:c r="D27" s="84" t="str">
        <x:v>备注</x:v>
      </x:c>
    </x:row>
    <x:row r="28" ht="30" customHeight="1">
      <x:c r="A28" t="str">
        <x:v>26寸箱</x:v>
      </x:c>
      <x:c r="B28" t="str">
        <x:v>18–20 kg</x:v>
      </x:c>
      <x:c r="C28" s="38" t="str">
        <x:f>IF('26寸箱'!I3="","",'26寸箱'!I3)</x:f>
      </x:c>
      <x:c r="D28" t="str">
        <x:v>首先保证落地首周够用</x:v>
      </x:c>
    </x:row>
    <x:row r="29" ht="30" customHeight="1">
      <x:c r="A29" t="str">
        <x:v>28寸箱</x:v>
      </x:c>
      <x:c r="B29" t="str">
        <x:v>19–21 kg</x:v>
      </x:c>
      <x:c r="C29" s="38" t="str">
        <x:f>IF('28寸箱'!I3="","",'28寸箱'!I3)</x:f>
      </x:c>
      <x:c r="D29" t="str">
        <x:v>不为填满箱子而携带多余物品</x:v>
      </x:c>
    </x:row>
  </x:sheetData>
  <x:mergeCells>
    <x:mergeCell ref="A1:H2"/>
    <x:mergeCell ref="A3:H3"/>
    <x:mergeCell ref="A19:H19"/>
    <x:mergeCell ref="A20:H20"/>
    <x:mergeCell ref="A21:H21"/>
    <x:mergeCell ref="A22:H22"/>
    <x:mergeCell ref="A23:H23"/>
    <x:mergeCell ref="A24:H24"/>
    <x:mergeCell ref="A25:H25"/>
  </x:mergeCells>
  <x:conditionalFormatting sqref="E11:E16">
    <x:cfRule type="dataBar" priority="1">
      <x:dataBar>
        <x:cfvo type="min"/>
        <x:cfvo type="max"/>
        <x:color rgb="FF087F76"/>
      </x:dataBar>
      <x:extLst>
        <x:ext xmlns:x14="http://schemas.microsoft.com/office/spreadsheetml/2009/9/main" uri="{B025F937-C7B1-47D3-B67F-A62EFF666E3E}">
          <x14:id>{9BFB47AB-F48E-53DF-E161-4C924D031700}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FB47AB-F48E-53DF-E161-4C924D031700}">
            <x14:dataBar gradient="0">
              <x14:cfvo type="min"/>
              <x14:cfvo type="max"/>
              <x14:fillColor rgb="FF087F76"/>
            </x14:dataBar>
          </x14:cfRule>
          <xm:sqref>E11:E16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41" hidden="0" customWidth="1"/>
    <x:col min="3" max="3" width="15" hidden="0" customWidth="1"/>
    <x:col min="4" max="4" width="12" hidden="0" customWidth="1"/>
    <x:col min="5" max="5" width="16" hidden="0" customWidth="1"/>
    <x:col min="6" max="6" width="62" hidden="0" customWidth="1"/>
  </x:cols>
  <x:sheetData>
    <x:row r="1" ht="36" customHeight="1">
      <x:c r="A1" s="4" t="str">
        <x:v>随身背包  |  USC · Los Angeles</x:v>
      </x:c>
      <x:c r="B1" s="4"/>
      <x:c r="C1" s="4"/>
      <x:c r="D1" s="4"/>
      <x:c r="E1" s="4"/>
      <x:c r="F1" s="4"/>
    </x:row>
    <x:row r="2" ht="28" customHeight="1">
      <x:c r="A2" s="10" t="str">
        <x:v>重要证件、电脑、电池和药物必须随身；不要放入托运行李。</x:v>
      </x:c>
      <x:c r="B2" s="10"/>
      <x:c r="C2" s="10"/>
      <x:c r="D2" s="10"/>
      <x:c r="E2" s="10"/>
      <x:c r="F2" s="10"/>
    </x:row>
    <x:row r="4" ht="23" customHeight="1">
      <x:c r="A4" s="14" t="str">
        <x:v>总项数</x:v>
      </x:c>
      <x:c r="B4" s="18" t="n">
        <x:f>COUNTA(B8:B25)</x:f>
        <x:v>18</x:v>
      </x:c>
      <x:c r="C4" s="14" t="str">
        <x:v>已完成</x:v>
      </x:c>
      <x:c r="D4" s="18" t="n">
        <x:f>COUNTIF(E8:E25,"已完成")</x:f>
        <x:v>0</x:v>
      </x:c>
      <x:c r="E4" s="14" t="str">
        <x:v>完成率</x:v>
      </x:c>
      <x:c r="F4" s="20" t="n">
        <x:f>IFERROR(D4/B4,0)</x:f>
        <x:v>0</x:v>
      </x:c>
    </x:row>
    <x:row r="6" ht="25" customHeight="1">
      <x:c r="A6" s="22" t="str">
        <x:v>状态下拉选择：未开始 / 准备中 / 已完成    ·    P0 必带   P1 建议   P2 可选</x:v>
      </x:c>
      <x:c r="B6" s="22"/>
      <x:c r="C6" s="22"/>
      <x:c r="D6" s="22"/>
      <x:c r="E6" s="22"/>
      <x:c r="F6" s="22"/>
    </x:row>
    <x:row r="7" ht="28" customHeight="1">
      <x:c r="A7" s="26" t="str">
        <x:v>类别</x:v>
      </x:c>
      <x:c r="B7" s="26" t="str">
        <x:v>物品</x:v>
      </x:c>
      <x:c r="C7" s="26" t="str">
        <x:v>数量</x:v>
      </x:c>
      <x:c r="D7" s="26" t="str">
        <x:v>优先级</x:v>
      </x:c>
      <x:c r="E7" s="26" t="str">
        <x:v>状态 ▼</x:v>
      </x:c>
      <x:c r="F7" s="26" t="str">
        <x:v>备注 / 操作提示</x:v>
      </x:c>
    </x:row>
    <x:row r="8" ht="27" customHeight="1">
      <x:c r="A8" s="32" t="str">
        <x:v>证件</x:v>
      </x:c>
      <x:c r="B8" s="32" t="str">
        <x:v>护照 + 有效 F-1 签证</x:v>
      </x:c>
      <x:c r="C8" s="32" t="str">
        <x:v>1套</x:v>
      </x:c>
      <x:c r="D8" s="32" t="str">
        <x:v>P0</x:v>
      </x:c>
      <x:c r="E8" s="32" t="str">
        <x:v>未开始</x:v>
      </x:c>
      <x:c r="F8" s="34" t="str">
        <x:v>保留原件，务必随身</x:v>
      </x:c>
    </x:row>
    <x:row r="9" ht="27" customHeight="1">
      <x:c r="A9" s="32" t="str">
        <x:v>证件</x:v>
      </x:c>
      <x:c r="B9" s="32" t="str">
        <x:v>USC I-20（已按要求签字）</x:v>
      </x:c>
      <x:c r="C9" s="32" t="str">
        <x:v>1份</x:v>
      </x:c>
      <x:c r="D9" s="32" t="str">
        <x:v>P0</x:v>
      </x:c>
      <x:c r="E9" s="32" t="str">
        <x:v>未开始</x:v>
      </x:c>
      <x:c r="F9" s="34" t="str">
        <x:v>入境时随时可取出</x:v>
      </x:c>
    </x:row>
    <x:row r="10" ht="27" customHeight="1">
      <x:c r="A10" s="32" t="str">
        <x:v>证件</x:v>
      </x:c>
      <x:c r="B10" s="32" t="str">
        <x:v>USC 录取通知书</x:v>
      </x:c>
      <x:c r="C10" s="32" t="str">
        <x:v>1份</x:v>
      </x:c>
      <x:c r="D10" s="32" t="str">
        <x:v>P0</x:v>
      </x:c>
      <x:c r="E10" s="32" t="str">
        <x:v>未开始</x:v>
      </x:c>
      <x:c r="F10" s="34" t="str">
        <x:v>建议纸质+电子版</x:v>
      </x:c>
    </x:row>
    <x:row r="11" ht="27" customHeight="1">
      <x:c r="A11" s="32" t="str">
        <x:v>证件</x:v>
      </x:c>
      <x:c r="B11" s="32" t="str">
        <x:v>SEVIS I-901 缴费收据</x:v>
      </x:c>
      <x:c r="C11" s="32" t="str">
        <x:v>1份</x:v>
      </x:c>
      <x:c r="D11" s="32" t="str">
        <x:v>P0</x:v>
      </x:c>
      <x:c r="E11" s="32" t="str">
        <x:v>未开始</x:v>
      </x:c>
      <x:c r="F11" s="34" t="str">
        <x:v>建议打印</x:v>
      </x:c>
    </x:row>
    <x:row r="12" ht="27" customHeight="1">
      <x:c r="A12" s="32" t="str">
        <x:v>证件</x:v>
      </x:c>
      <x:c r="B12" s="32" t="str">
        <x:v>财力证明和其他入境辅助文件</x:v>
      </x:c>
      <x:c r="C12" s="32" t="str">
        <x:v>1套</x:v>
      </x:c>
      <x:c r="D12" s="32" t="str">
        <x:v>P0</x:v>
      </x:c>
      <x:c r="E12" s="32" t="str">
        <x:v>未开始</x:v>
      </x:c>
      <x:c r="F12" s="34" t="str">
        <x:v>随手可取</x:v>
      </x:c>
    </x:row>
    <x:row r="13" ht="27" customHeight="1">
      <x:c r="A13" s="32" t="str">
        <x:v>证件</x:v>
      </x:c>
      <x:c r="B13" s="32" t="str">
        <x:v>机票、美国公寓地址及联系人</x:v>
      </x:c>
      <x:c r="C13" s="32" t="str">
        <x:v>1套</x:v>
      </x:c>
      <x:c r="D13" s="32" t="str">
        <x:v>P0</x:v>
      </x:c>
      <x:c r="E13" s="32" t="str">
        <x:v>未开始</x:v>
      </x:c>
      <x:c r="F13" s="34" t="str">
        <x:v>准备离线版本</x:v>
      </x:c>
    </x:row>
    <x:row r="14" ht="27" customHeight="1">
      <x:c r="A14" s="32" t="str">
        <x:v>证件</x:v>
      </x:c>
      <x:c r="B14" s="32" t="str">
        <x:v>身份证、国内驾驶证（如有）</x:v>
      </x:c>
      <x:c r="C14" s="32" t="str">
        <x:v>各1</x:v>
      </x:c>
      <x:c r="D14" s="32" t="str">
        <x:v>P1</x:v>
      </x:c>
      <x:c r="E14" s="32" t="str">
        <x:v>未开始</x:v>
      </x:c>
      <x:c r="F14" s="34" t="str">
        <x:v>如需在美国驾车，另核对当地要求</x:v>
      </x:c>
    </x:row>
    <x:row r="15" ht="27" customHeight="1">
      <x:c r="A15" s="32" t="str">
        <x:v>证件</x:v>
      </x:c>
      <x:c r="B15" s="32" t="str">
        <x:v>重要文件复印件及电子备份</x:v>
      </x:c>
      <x:c r="C15" s="32" t="str">
        <x:v>1套</x:v>
      </x:c>
      <x:c r="D15" s="32" t="str">
        <x:v>P0</x:v>
      </x:c>
      <x:c r="E15" s="32" t="str">
        <x:v>未开始</x:v>
      </x:c>
      <x:c r="F15" s="34" t="str">
        <x:v>与证件原件分开放置</x:v>
      </x:c>
    </x:row>
    <x:row r="16" ht="27" customHeight="1">
      <x:c r="A16" s="32" t="str">
        <x:v>支付</x:v>
      </x:c>
      <x:c r="B16" s="32" t="str">
        <x:v>钱包、银行卡、适量美元现金</x:v>
      </x:c>
      <x:c r="C16" s="32" t="str">
        <x:v>1套</x:v>
      </x:c>
      <x:c r="D16" s="32" t="str">
        <x:v>P0</x:v>
      </x:c>
      <x:c r="E16" s="32" t="str">
        <x:v>未开始</x:v>
      </x:c>
      <x:c r="F16" s="34" t="str">
        <x:v>确认可进行境外交易</x:v>
      </x:c>
    </x:row>
    <x:row r="17" ht="27" customHeight="1">
      <x:c r="A17" s="32" t="str">
        <x:v>电子</x:v>
      </x:c>
      <x:c r="B17" s="32" t="str">
        <x:v>笔记本电脑 + 充电器</x:v>
      </x:c>
      <x:c r="C17" s="32" t="str">
        <x:v>1套</x:v>
      </x:c>
      <x:c r="D17" s="32" t="str">
        <x:v>P0</x:v>
      </x:c>
      <x:c r="E17" s="32" t="str">
        <x:v>未开始</x:v>
      </x:c>
      <x:c r="F17" s="34" t="str">
        <x:v>电池设备随身</x:v>
      </x:c>
    </x:row>
    <x:row r="18" ht="27" customHeight="1">
      <x:c r="A18" s="32" t="str">
        <x:v>电子</x:v>
      </x:c>
      <x:c r="B18" s="32" t="str">
        <x:v>手机 + 充电线</x:v>
      </x:c>
      <x:c r="C18" s="32" t="str">
        <x:v>1套</x:v>
      </x:c>
      <x:c r="D18" s="32" t="str">
        <x:v>P0</x:v>
      </x:c>
      <x:c r="E18" s="32" t="str">
        <x:v>未开始</x:v>
      </x:c>
      <x:c r="F18" s="34" t="str">
        <x:v>保留国内手机号收验证码的能力</x:v>
      </x:c>
    </x:row>
    <x:row r="19" ht="27" customHeight="1">
      <x:c r="A19" s="32" t="str">
        <x:v>电子</x:v>
      </x:c>
      <x:c r="B19" s="32" t="str">
        <x:v>移动电源</x:v>
      </x:c>
      <x:c r="C19" s="32" t="str">
        <x:v>1个</x:v>
      </x:c>
      <x:c r="D19" s="32" t="str">
        <x:v>P0</x:v>
      </x:c>
      <x:c r="E19" s="32" t="str">
        <x:v>未开始</x:v>
      </x:c>
      <x:c r="F19" s="34" t="str">
        <x:v>只能随身，提前核对容量与航司限制</x:v>
      </x:c>
    </x:row>
    <x:row r="20" ht="27" customHeight="1">
      <x:c r="A20" s="32" t="str">
        <x:v>电子</x:v>
      </x:c>
      <x:c r="B20" s="32" t="str">
        <x:v>耳机、移动硬盘／U盘（如需）</x:v>
      </x:c>
      <x:c r="C20" s="32" t="str">
        <x:v>按需</x:v>
      </x:c>
      <x:c r="D20" s="32" t="str">
        <x:v>P1</x:v>
      </x:c>
      <x:c r="E20" s="32" t="str">
        <x:v>未开始</x:v>
      </x:c>
      <x:c r="F20" s="34" t="str">
        <x:v>重要数据建议多处备份</x:v>
      </x:c>
    </x:row>
    <x:row r="21" ht="27" customHeight="1">
      <x:c r="A21" s="32" t="str">
        <x:v>通信</x:v>
      </x:c>
      <x:c r="B21" s="32" t="str">
        <x:v>美国 SIM/eSIM 启用方案</x:v>
      </x:c>
      <x:c r="C21" s="32" t="str">
        <x:v>1套</x:v>
      </x:c>
      <x:c r="D21" s="32" t="str">
        <x:v>P0</x:v>
      </x:c>
      <x:c r="E21" s="32" t="str">
        <x:v>未开始</x:v>
      </x:c>
      <x:c r="F21" s="34" t="str">
        <x:v>落地可以上网</x:v>
      </x:c>
    </x:row>
    <x:row r="22" ht="27" customHeight="1">
      <x:c r="A22" s="32" t="str">
        <x:v>健康</x:v>
      </x:c>
      <x:c r="B22" s="32" t="str">
        <x:v>必要处方药与英文处方（如需）</x:v>
      </x:c>
      <x:c r="C22" s="32" t="str">
        <x:v>按需</x:v>
      </x:c>
      <x:c r="D22" s="32" t="str">
        <x:v>P0</x:v>
      </x:c>
      <x:c r="E22" s="32" t="str">
        <x:v>未开始</x:v>
      </x:c>
      <x:c r="F22" s="34" t="str">
        <x:v>核实入境限制，保留原包装</x:v>
      </x:c>
    </x:row>
    <x:row r="23" ht="27" customHeight="1">
      <x:c r="A23" s="32" t="str">
        <x:v>健康</x:v>
      </x:c>
      <x:c r="B23" s="32" t="str">
        <x:v>眼镜／隐形眼镜（如需）</x:v>
      </x:c>
      <x:c r="C23" s="32" t="str">
        <x:v>1套</x:v>
      </x:c>
      <x:c r="D23" s="32" t="str">
        <x:v>P1</x:v>
      </x:c>
      <x:c r="E23" s="32" t="str">
        <x:v>未开始</x:v>
      </x:c>
      <x:c r="F23" s="34" t="str">
        <x:v>随身放易碎物品</x:v>
      </x:c>
    </x:row>
    <x:row r="24" ht="27" customHeight="1">
      <x:c r="A24" s="32" t="str">
        <x:v>应急</x:v>
      </x:c>
      <x:c r="B24" s="32" t="str">
        <x:v>备用内裤 + 袜子</x:v>
      </x:c>
      <x:c r="C24" s="32" t="str">
        <x:v>各1</x:v>
      </x:c>
      <x:c r="D24" s="32" t="str">
        <x:v>P1</x:v>
      </x:c>
      <x:c r="E24" s="32" t="str">
        <x:v>未开始</x:v>
      </x:c>
      <x:c r="F24" s="34" t="str">
        <x:v>应对托运行李延误</x:v>
      </x:c>
    </x:row>
    <x:row r="25" ht="27" customHeight="1">
      <x:c r="A25" s="32" t="str">
        <x:v>应急</x:v>
      </x:c>
      <x:c r="B25" s="32" t="str">
        <x:v>纸巾、空水杯、少量合规旅行用品</x:v>
      </x:c>
      <x:c r="C25" s="32" t="str">
        <x:v>1套</x:v>
      </x:c>
      <x:c r="D25" s="32" t="str">
        <x:v>P1</x:v>
      </x:c>
      <x:c r="E25" s="32" t="str">
        <x:v>未开始</x:v>
      </x:c>
      <x:c r="F25" s="34" t="str">
        <x:v>液体遵守安检规则</x:v>
      </x:c>
    </x:row>
  </x:sheetData>
  <x:mergeCells>
    <x:mergeCell ref="A1:F1"/>
    <x:mergeCell ref="A2:F2"/>
    <x:mergeCell ref="A6:F6"/>
  </x:mergeCells>
  <x:conditionalFormatting sqref="E8:E25">
    <x:cfRule type="expression" dxfId="0" priority="1">
      <x:formula>E8="已完成"</x:formula>
    </x:cfRule>
    <x:cfRule type="expression" dxfId="1" priority="2">
      <x:formula>E8="准备中"</x:formula>
    </x:cfRule>
  </x:conditionalFormatting>
  <x:conditionalFormatting sqref="D8:D25">
    <x:cfRule type="expression" dxfId="2" priority="3">
      <x:formula>D8="P0"</x:formula>
    </x:cfRule>
  </x:conditionalFormatting>
  <x:conditionalFormatting sqref="F4:F4">
    <x:cfRule type="dataBar" priority="4">
      <x:dataBar>
        <x:cfvo type="min"/>
        <x:cfvo type="max"/>
        <x:color rgb="FF087F76"/>
      </x:dataBar>
      <x:extLst>
        <x:ext xmlns:x14="http://schemas.microsoft.com/office/spreadsheetml/2009/9/main" uri="{B025F937-C7B1-47D3-B67F-A62EFF666E3E}">
          <x14:id>{408E57D7-48C0-AC88-0B07-4A9636E3384C}</x14:id>
        </x:ext>
      </x:extLst>
    </x:cfRule>
  </x:conditionalFormatting>
  <x:dataValidations count="1">
    <x:dataValidation type="list" sqref="E8:E25">
      <x:formula1>"未开始,准备中,已完成"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408E57D7-48C0-AC88-0B07-4A9636E3384C}">
            <x14:dataBar gradient="0">
              <x14:cfvo type="min"/>
              <x14:cfvo type="max"/>
              <x14:fillColor rgb="FF087F76"/>
            </x14:dataBar>
          </x14:cfRule>
          <xm:sqref>F4:F4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41" hidden="0" customWidth="1"/>
    <x:col min="3" max="3" width="15" hidden="0" customWidth="1"/>
    <x:col min="4" max="4" width="12" hidden="0" customWidth="1"/>
    <x:col min="5" max="5" width="16" hidden="0" customWidth="1"/>
    <x:col min="6" max="6" width="62" hidden="0" customWidth="1"/>
    <x:col min="8" max="8" width="19" hidden="0" customWidth="1"/>
    <x:col min="9" max="9" width="14" hidden="0" customWidth="1"/>
  </x:cols>
  <x:sheetData>
    <x:row r="1" ht="36" customHeight="1">
      <x:c r="A1" s="4" t="str">
        <x:v>26寸箱  |  USC · Los Angeles</x:v>
      </x:c>
      <x:c r="B1" s="4"/>
      <x:c r="C1" s="4"/>
      <x:c r="D1" s="4"/>
      <x:c r="E1" s="4"/>
      <x:c r="F1" s="4"/>
    </x:row>
    <x:row r="2" ht="28" customHeight="1">
      <x:c r="A2" s="10" t="str">
        <x:v>优先装落地后一周所需；建议控制在 18–20 kg。</x:v>
      </x:c>
      <x:c r="B2" s="10"/>
      <x:c r="C2" s="10"/>
      <x:c r="D2" s="10"/>
      <x:c r="E2" s="10"/>
      <x:c r="F2" s="10"/>
      <x:c r="H2" s="36" t="str">
        <x:v>托运重量记录（kg）</x:v>
      </x:c>
      <x:c r="I2" s="36"/>
      <x:c r="J2" s="36"/>
    </x:row>
    <x:row r="3">
      <x:c r="H3" t="str">
        <x:v>实际称重</x:v>
      </x:c>
      <x:c r="I3" s="40"/>
    </x:row>
    <x:row r="4" ht="23" customHeight="1">
      <x:c r="A4" s="14" t="str">
        <x:v>总项数</x:v>
      </x:c>
      <x:c r="B4" s="18" t="n">
        <x:f>COUNTA(B8:B27)</x:f>
        <x:v>20</x:v>
      </x:c>
      <x:c r="C4" s="14" t="str">
        <x:v>已完成</x:v>
      </x:c>
      <x:c r="D4" s="18" t="n">
        <x:f>COUNTIF(E8:E27,"已完成")</x:f>
        <x:v>0</x:v>
      </x:c>
      <x:c r="E4" s="14" t="str">
        <x:v>完成率</x:v>
      </x:c>
      <x:c r="F4" s="20" t="n">
        <x:f>IFERROR(D4/B4,0)</x:f>
        <x:v>0</x:v>
      </x:c>
      <x:c r="H4" t="str">
        <x:v>暂定单件上限</x:v>
      </x:c>
      <x:c r="I4" s="38" t="n">
        <x:v>23</x:v>
      </x:c>
    </x:row>
    <x:row r="5">
      <x:c r="H5" t="str">
        <x:v>预留重量</x:v>
      </x:c>
      <x:c r="I5" s="38" t="str">
        <x:f>IF(I3="","",I4-I3)</x:f>
      </x:c>
    </x:row>
    <x:row r="6" ht="25" customHeight="1">
      <x:c r="A6" s="22" t="str">
        <x:v>状态下拉选择：未开始 / 准备中 / 已完成    ·    P0 必带   P1 建议   P2 可选</x:v>
      </x:c>
      <x:c r="B6" s="22"/>
      <x:c r="C6" s="22"/>
      <x:c r="D6" s="22"/>
      <x:c r="E6" s="22"/>
      <x:c r="F6" s="22"/>
    </x:row>
    <x:row r="7" ht="38" customHeight="1">
      <x:c r="A7" s="26" t="str">
        <x:v>类别</x:v>
      </x:c>
      <x:c r="B7" s="26" t="str">
        <x:v>物品</x:v>
      </x:c>
      <x:c r="C7" s="26" t="str">
        <x:v>数量</x:v>
      </x:c>
      <x:c r="D7" s="26" t="str">
        <x:v>优先级</x:v>
      </x:c>
      <x:c r="E7" s="26" t="str">
        <x:v>状态 ▼</x:v>
      </x:c>
      <x:c r="F7" s="26" t="str">
        <x:v>备注 / 操作提示</x:v>
      </x:c>
      <x:c r="H7" s="44" t="str">
        <x:v>⚠ 实际额度、尺寸以所乘航空公司为准</x:v>
      </x:c>
      <x:c r="I7" s="44"/>
      <x:c r="J7" s="44"/>
    </x:row>
    <x:row r="8" ht="27" customHeight="1">
      <x:c r="A8" s="32" t="str">
        <x:v>衣物</x:v>
      </x:c>
      <x:c r="B8" s="32" t="str">
        <x:v>短袖 T 恤</x:v>
      </x:c>
      <x:c r="C8" s="32" t="str">
        <x:v>3件</x:v>
      </x:c>
      <x:c r="D8" s="32" t="str">
        <x:v>P0</x:v>
      </x:c>
      <x:c r="E8" s="32" t="str">
        <x:v>未开始</x:v>
      </x:c>
      <x:c r="F8" s="34" t="str">
        <x:v>落地首周使用</x:v>
      </x:c>
    </x:row>
    <x:row r="9" ht="27" customHeight="1">
      <x:c r="A9" s="32" t="str">
        <x:v>衣物</x:v>
      </x:c>
      <x:c r="B9" s="32" t="str">
        <x:v>长袖上衣／衬衫</x:v>
      </x:c>
      <x:c r="C9" s="32" t="str">
        <x:v>2件</x:v>
      </x:c>
      <x:c r="D9" s="32" t="str">
        <x:v>P0</x:v>
      </x:c>
      <x:c r="E9" s="32" t="str">
        <x:v>未开始</x:v>
      </x:c>
      <x:c r="F9" s="34" t="str">
        <x:v>适合 LA 冬季早晚</x:v>
      </x:c>
    </x:row>
    <x:row r="10" ht="27" customHeight="1">
      <x:c r="A10" s="32" t="str">
        <x:v>衣物</x:v>
      </x:c>
      <x:c r="B10" s="32" t="str">
        <x:v>卫衣</x:v>
      </x:c>
      <x:c r="C10" s="32" t="str">
        <x:v>1件</x:v>
      </x:c>
      <x:c r="D10" s="32" t="str">
        <x:v>P0</x:v>
      </x:c>
      <x:c r="E10" s="32" t="str">
        <x:v>未开始</x:v>
      </x:c>
      <x:c r="F10" s="34" t="str">
        <x:v>便于叠穿</x:v>
      </x:c>
    </x:row>
    <x:row r="11" ht="27" customHeight="1">
      <x:c r="A11" s="32" t="str">
        <x:v>衣物</x:v>
      </x:c>
      <x:c r="B11" s="32" t="str">
        <x:v>长裤</x:v>
      </x:c>
      <x:c r="C11" s="32" t="str">
        <x:v>2条</x:v>
      </x:c>
      <x:c r="D11" s="32" t="str">
        <x:v>P0</x:v>
      </x:c>
      <x:c r="E11" s="32" t="str">
        <x:v>未开始</x:v>
      </x:c>
      <x:c r="F11" s="34" t="str">
        <x:v>落地首周使用</x:v>
      </x:c>
    </x:row>
    <x:row r="12" ht="27" customHeight="1">
      <x:c r="A12" s="32" t="str">
        <x:v>衣物</x:v>
      </x:c>
      <x:c r="B12" s="32" t="str">
        <x:v>薄外套</x:v>
      </x:c>
      <x:c r="C12" s="32" t="str">
        <x:v>1件</x:v>
      </x:c>
      <x:c r="D12" s="32" t="str">
        <x:v>P0</x:v>
      </x:c>
      <x:c r="E12" s="32" t="str">
        <x:v>未开始</x:v>
      </x:c>
      <x:c r="F12" s="34" t="str">
        <x:v>防凉防风</x:v>
      </x:c>
    </x:row>
    <x:row r="13" ht="27" customHeight="1">
      <x:c r="A13" s="32" t="str">
        <x:v>衣物</x:v>
      </x:c>
      <x:c r="B13" s="32" t="str">
        <x:v>内裤</x:v>
      </x:c>
      <x:c r="C13" s="32" t="str">
        <x:v>7条</x:v>
      </x:c>
      <x:c r="D13" s="32" t="str">
        <x:v>P0</x:v>
      </x:c>
      <x:c r="E13" s="32" t="str">
        <x:v>未开始</x:v>
      </x:c>
      <x:c r="F13" s="34" t="str">
        <x:v>一周换洗</x:v>
      </x:c>
    </x:row>
    <x:row r="14" ht="27" customHeight="1">
      <x:c r="A14" s="32" t="str">
        <x:v>衣物</x:v>
      </x:c>
      <x:c r="B14" s="32" t="str">
        <x:v>袜子</x:v>
      </x:c>
      <x:c r="C14" s="32" t="str">
        <x:v>7双</x:v>
      </x:c>
      <x:c r="D14" s="32" t="str">
        <x:v>P0</x:v>
      </x:c>
      <x:c r="E14" s="32" t="str">
        <x:v>未开始</x:v>
      </x:c>
      <x:c r="F14" s="34" t="str">
        <x:v>一周换洗</x:v>
      </x:c>
    </x:row>
    <x:row r="15" ht="27" customHeight="1">
      <x:c r="A15" s="32" t="str">
        <x:v>衣物</x:v>
      </x:c>
      <x:c r="B15" s="32" t="str">
        <x:v>睡衣</x:v>
      </x:c>
      <x:c r="C15" s="32" t="str">
        <x:v>1套</x:v>
      </x:c>
      <x:c r="D15" s="32" t="str">
        <x:v>P0</x:v>
      </x:c>
      <x:c r="E15" s="32" t="str">
        <x:v>未开始</x:v>
      </x:c>
      <x:c r="F15" s="34" t="str"/>
    </x:row>
    <x:row r="16" ht="27" customHeight="1">
      <x:c r="A16" s="32" t="str">
        <x:v>鞋履</x:v>
      </x:c>
      <x:c r="B16" s="32" t="str">
        <x:v>拖鞋</x:v>
      </x:c>
      <x:c r="C16" s="32" t="str">
        <x:v>1双</x:v>
      </x:c>
      <x:c r="D16" s="32" t="str">
        <x:v>P0</x:v>
      </x:c>
      <x:c r="E16" s="32" t="str">
        <x:v>未开始</x:v>
      </x:c>
      <x:c r="F16" s="34" t="str">
        <x:v>公寓入住当晚用</x:v>
      </x:c>
    </x:row>
    <x:row r="17" ht="27" customHeight="1">
      <x:c r="A17" s="32" t="str">
        <x:v>洗漱</x:v>
      </x:c>
      <x:c r="B17" s="32" t="str">
        <x:v>牙刷、牙膏、牙线</x:v>
      </x:c>
      <x:c r="C17" s="32" t="str">
        <x:v>1套</x:v>
      </x:c>
      <x:c r="D17" s="32" t="str">
        <x:v>P0</x:v>
      </x:c>
      <x:c r="E17" s="32" t="str">
        <x:v>未开始</x:v>
      </x:c>
      <x:c r="F17" s="34" t="str">
        <x:v>牙膏等液体做好密封</x:v>
      </x:c>
    </x:row>
    <x:row r="18" ht="27" customHeight="1">
      <x:c r="A18" s="32" t="str">
        <x:v>洗漱</x:v>
      </x:c>
      <x:c r="B18" s="32" t="str">
        <x:v>洗面奶、护肤品、防晒霜</x:v>
      </x:c>
      <x:c r="C18" s="32" t="str">
        <x:v>少量</x:v>
      </x:c>
      <x:c r="D18" s="32" t="str">
        <x:v>P0</x:v>
      </x:c>
      <x:c r="E18" s="32" t="str">
        <x:v>未开始</x:v>
      </x:c>
      <x:c r="F18" s="34" t="str">
        <x:v>初到美国够用即可</x:v>
      </x:c>
    </x:row>
    <x:row r="19" ht="27" customHeight="1">
      <x:c r="A19" s="32" t="str">
        <x:v>洗漱</x:v>
      </x:c>
      <x:c r="B19" s="32" t="str">
        <x:v>洗发水、沐浴露旅行装</x:v>
      </x:c>
      <x:c r="C19" s="32" t="str">
        <x:v>各1</x:v>
      </x:c>
      <x:c r="D19" s="32" t="str">
        <x:v>P0</x:v>
      </x:c>
      <x:c r="E19" s="32" t="str">
        <x:v>未开始</x:v>
      </x:c>
      <x:c r="F19" s="34" t="str">
        <x:v>大瓶装到美国再买</x:v>
      </x:c>
    </x:row>
    <x:row r="20" ht="27" customHeight="1">
      <x:c r="A20" s="32" t="str">
        <x:v>洗漱</x:v>
      </x:c>
      <x:c r="B20" s="32" t="str">
        <x:v>剃须刀、梳子、指甲剪</x:v>
      </x:c>
      <x:c r="C20" s="32" t="str">
        <x:v>各1</x:v>
      </x:c>
      <x:c r="D20" s="32" t="str">
        <x:v>P1</x:v>
      </x:c>
      <x:c r="E20" s="32" t="str">
        <x:v>未开始</x:v>
      </x:c>
      <x:c r="F20" s="34" t="str">
        <x:v>注意剃刀类型的安检规定</x:v>
      </x:c>
    </x:row>
    <x:row r="21" ht="27" customHeight="1">
      <x:c r="A21" s="32" t="str">
        <x:v>生活</x:v>
      </x:c>
      <x:c r="B21" s="32" t="str">
        <x:v>毛巾</x:v>
      </x:c>
      <x:c r="C21" s="32" t="str">
        <x:v>1条</x:v>
      </x:c>
      <x:c r="D21" s="32" t="str">
        <x:v>P0</x:v>
      </x:c>
      <x:c r="E21" s="32" t="str">
        <x:v>未开始</x:v>
      </x:c>
      <x:c r="F21" s="34" t="str"/>
    </x:row>
    <x:row r="22" ht="27" customHeight="1">
      <x:c r="A22" s="32" t="str">
        <x:v>电子配件</x:v>
      </x:c>
      <x:c r="B22" s="32" t="str">
        <x:v>美标转换插头</x:v>
      </x:c>
      <x:c r="C22" s="32" t="str">
        <x:v>2个</x:v>
      </x:c>
      <x:c r="D22" s="32" t="str">
        <x:v>P0</x:v>
      </x:c>
      <x:c r="E22" s="32" t="str">
        <x:v>未开始</x:v>
      </x:c>
      <x:c r="F22" s="34" t="str">
        <x:v>不是变压器，电器需支持 120V</x:v>
      </x:c>
    </x:row>
    <x:row r="23" ht="27" customHeight="1">
      <x:c r="A23" s="32" t="str">
        <x:v>电子配件</x:v>
      </x:c>
      <x:c r="B23" s="32" t="str">
        <x:v>备用数据线</x:v>
      </x:c>
      <x:c r="C23" s="32" t="str">
        <x:v>2条</x:v>
      </x:c>
      <x:c r="D23" s="32" t="str">
        <x:v>P1</x:v>
      </x:c>
      <x:c r="E23" s="32" t="str">
        <x:v>未开始</x:v>
      </x:c>
      <x:c r="F23" s="34" t="str"/>
    </x:row>
    <x:row r="24" ht="27" customHeight="1">
      <x:c r="A24" s="32" t="str">
        <x:v>生活</x:v>
      </x:c>
      <x:c r="B24" s="32" t="str">
        <x:v>折叠雨伞</x:v>
      </x:c>
      <x:c r="C24" s="32" t="str">
        <x:v>1把</x:v>
      </x:c>
      <x:c r="D24" s="32" t="str">
        <x:v>P1</x:v>
      </x:c>
      <x:c r="E24" s="32" t="str">
        <x:v>未开始</x:v>
      </x:c>
      <x:c r="F24" s="34" t="str">
        <x:v>12月可能遇到降雨</x:v>
      </x:c>
    </x:row>
    <x:row r="25" ht="27" customHeight="1">
      <x:c r="A25" s="32" t="str">
        <x:v>生活</x:v>
      </x:c>
      <x:c r="B25" s="32" t="str">
        <x:v>水杯／保温杯</x:v>
      </x:c>
      <x:c r="C25" s="32" t="str">
        <x:v>1个</x:v>
      </x:c>
      <x:c r="D25" s="32" t="str">
        <x:v>P1</x:v>
      </x:c>
      <x:c r="E25" s="32" t="str">
        <x:v>未开始</x:v>
      </x:c>
      <x:c r="F25" s="34" t="str"/>
    </x:row>
    <x:row r="26" ht="27" customHeight="1">
      <x:c r="A26" s="32" t="str">
        <x:v>学习</x:v>
      </x:c>
      <x:c r="B26" s="32" t="str">
        <x:v>文具、笔记本</x:v>
      </x:c>
      <x:c r="C26" s="32" t="str">
        <x:v>少量</x:v>
      </x:c>
      <x:c r="D26" s="32" t="str">
        <x:v>P2</x:v>
      </x:c>
      <x:c r="E26" s="32" t="str">
        <x:v>未开始</x:v>
      </x:c>
      <x:c r="F26" s="34" t="str">
        <x:v>美国也容易采购</x:v>
      </x:c>
    </x:row>
    <x:row r="27" ht="27" customHeight="1">
      <x:c r="A27" s="32" t="str">
        <x:v>收纳</x:v>
      </x:c>
      <x:c r="B27" s="32" t="str">
        <x:v>衣物收纳袋</x:v>
      </x:c>
      <x:c r="C27" s="32" t="str">
        <x:v>2–3个</x:v>
      </x:c>
      <x:c r="D27" s="32" t="str">
        <x:v>P2</x:v>
      </x:c>
      <x:c r="E27" s="32" t="str">
        <x:v>未开始</x:v>
      </x:c>
      <x:c r="F27" s="34" t="str">
        <x:v>不要为收纳袋占过多重量</x:v>
      </x:c>
    </x:row>
  </x:sheetData>
  <x:mergeCells>
    <x:mergeCell ref="A1:F1"/>
    <x:mergeCell ref="A2:F2"/>
    <x:mergeCell ref="A6:F6"/>
    <x:mergeCell ref="H2:J2"/>
    <x:mergeCell ref="H7:J7"/>
  </x:mergeCells>
  <x:conditionalFormatting sqref="E8:E27">
    <x:cfRule type="expression" dxfId="3" priority="1">
      <x:formula>E8="已完成"</x:formula>
    </x:cfRule>
    <x:cfRule type="expression" dxfId="4" priority="2">
      <x:formula>E8="准备中"</x:formula>
    </x:cfRule>
  </x:conditionalFormatting>
  <x:conditionalFormatting sqref="D8:D27">
    <x:cfRule type="expression" dxfId="5" priority="3">
      <x:formula>D8="P0"</x:formula>
    </x:cfRule>
  </x:conditionalFormatting>
  <x:conditionalFormatting sqref="F4:F4">
    <x:cfRule type="dataBar" priority="4">
      <x:dataBar>
        <x:cfvo type="min"/>
        <x:cfvo type="max"/>
        <x:color rgb="FF087F76"/>
      </x:dataBar>
      <x:extLst>
        <x:ext xmlns:x14="http://schemas.microsoft.com/office/spreadsheetml/2009/9/main" uri="{B025F937-C7B1-47D3-B67F-A62EFF666E3E}">
          <x14:id>{0399AF4A-1E44-B94D-9D35-3A0E9D23D52E}</x14:id>
        </x:ext>
      </x:extLst>
    </x:cfRule>
  </x:conditionalFormatting>
  <x:conditionalFormatting sqref="I5:I5">
    <x:cfRule type="cellIs" dxfId="6" priority="5" operator="lessThan">
      <x:formula>0</x:formula>
    </x:cfRule>
  </x:conditionalFormatting>
  <x:dataValidations count="1">
    <x:dataValidation type="list" sqref="E8:E27">
      <x:formula1>"未开始,准备中,已完成"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0399AF4A-1E44-B94D-9D35-3A0E9D23D52E}">
            <x14:dataBar gradient="0">
              <x14:cfvo type="min"/>
              <x14:cfvo type="max"/>
              <x14:fillColor rgb="FF087F76"/>
            </x14:dataBar>
          </x14:cfRule>
          <xm:sqref>F4:F4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41" hidden="0" customWidth="1"/>
    <x:col min="3" max="3" width="15" hidden="0" customWidth="1"/>
    <x:col min="4" max="4" width="12" hidden="0" customWidth="1"/>
    <x:col min="5" max="5" width="16" hidden="0" customWidth="1"/>
    <x:col min="6" max="6" width="62" hidden="0" customWidth="1"/>
    <x:col min="8" max="8" width="19" hidden="0" customWidth="1"/>
    <x:col min="9" max="9" width="14" hidden="0" customWidth="1"/>
  </x:cols>
  <x:sheetData>
    <x:row r="1" ht="36" customHeight="1">
      <x:c r="A1" s="4" t="str">
        <x:v>28寸箱  |  USC · Los Angeles</x:v>
      </x:c>
      <x:c r="B1" s="4"/>
      <x:c r="C1" s="4"/>
      <x:c r="D1" s="4"/>
      <x:c r="E1" s="4"/>
      <x:c r="F1" s="4"/>
    </x:row>
    <x:row r="2" ht="28" customHeight="1">
      <x:c r="A2" s="10" t="str">
        <x:v>补充衣物和不急用物品；建议控制在 19–21 kg。</x:v>
      </x:c>
      <x:c r="B2" s="10"/>
      <x:c r="C2" s="10"/>
      <x:c r="D2" s="10"/>
      <x:c r="E2" s="10"/>
      <x:c r="F2" s="10"/>
      <x:c r="H2" s="36" t="str">
        <x:v>托运重量记录（kg）</x:v>
      </x:c>
      <x:c r="I2" s="36"/>
      <x:c r="J2" s="36"/>
    </x:row>
    <x:row r="3">
      <x:c r="H3" t="str">
        <x:v>实际称重</x:v>
      </x:c>
      <x:c r="I3" s="40"/>
    </x:row>
    <x:row r="4" ht="23" customHeight="1">
      <x:c r="A4" s="14" t="str">
        <x:v>总项数</x:v>
      </x:c>
      <x:c r="B4" s="18" t="n">
        <x:f>COUNTA(B8:B27)</x:f>
        <x:v>20</x:v>
      </x:c>
      <x:c r="C4" s="14" t="str">
        <x:v>已完成</x:v>
      </x:c>
      <x:c r="D4" s="18" t="n">
        <x:f>COUNTIF(E8:E27,"已完成")</x:f>
        <x:v>0</x:v>
      </x:c>
      <x:c r="E4" s="14" t="str">
        <x:v>完成率</x:v>
      </x:c>
      <x:c r="F4" s="20" t="n">
        <x:f>IFERROR(D4/B4,0)</x:f>
        <x:v>0</x:v>
      </x:c>
      <x:c r="H4" t="str">
        <x:v>暂定单件上限</x:v>
      </x:c>
      <x:c r="I4" s="38" t="n">
        <x:v>23</x:v>
      </x:c>
    </x:row>
    <x:row r="5">
      <x:c r="H5" t="str">
        <x:v>预留重量</x:v>
      </x:c>
      <x:c r="I5" s="38" t="str">
        <x:f>IF(I3="","",I4-I3)</x:f>
      </x:c>
    </x:row>
    <x:row r="6" ht="25" customHeight="1">
      <x:c r="A6" s="22" t="str">
        <x:v>状态下拉选择：未开始 / 准备中 / 已完成    ·    P0 必带   P1 建议   P2 可选</x:v>
      </x:c>
      <x:c r="B6" s="22"/>
      <x:c r="C6" s="22"/>
      <x:c r="D6" s="22"/>
      <x:c r="E6" s="22"/>
      <x:c r="F6" s="22"/>
    </x:row>
    <x:row r="7" ht="38" customHeight="1">
      <x:c r="A7" s="26" t="str">
        <x:v>类别</x:v>
      </x:c>
      <x:c r="B7" s="26" t="str">
        <x:v>物品</x:v>
      </x:c>
      <x:c r="C7" s="26" t="str">
        <x:v>数量</x:v>
      </x:c>
      <x:c r="D7" s="26" t="str">
        <x:v>优先级</x:v>
      </x:c>
      <x:c r="E7" s="26" t="str">
        <x:v>状态 ▼</x:v>
      </x:c>
      <x:c r="F7" s="26" t="str">
        <x:v>备注 / 操作提示</x:v>
      </x:c>
      <x:c r="H7" s="44" t="str">
        <x:v>⚠ 实际额度、尺寸以所乘航空公司为准</x:v>
      </x:c>
      <x:c r="I7" s="44"/>
      <x:c r="J7" s="44"/>
    </x:row>
    <x:row r="8" ht="27" customHeight="1">
      <x:c r="A8" s="32" t="str">
        <x:v>衣物</x:v>
      </x:c>
      <x:c r="B8" s="32" t="str">
        <x:v>短袖 T 恤</x:v>
      </x:c>
      <x:c r="C8" s="32" t="str">
        <x:v>4件</x:v>
      </x:c>
      <x:c r="D8" s="32" t="str">
        <x:v>P1</x:v>
      </x:c>
      <x:c r="E8" s="32" t="str">
        <x:v>未开始</x:v>
      </x:c>
      <x:c r="F8" s="34" t="str"/>
    </x:row>
    <x:row r="9" ht="27" customHeight="1">
      <x:c r="A9" s="32" t="str">
        <x:v>衣物</x:v>
      </x:c>
      <x:c r="B9" s="32" t="str">
        <x:v>长袖上衣／衬衫</x:v>
      </x:c>
      <x:c r="C9" s="32" t="str">
        <x:v>2件</x:v>
      </x:c>
      <x:c r="D9" s="32" t="str">
        <x:v>P1</x:v>
      </x:c>
      <x:c r="E9" s="32" t="str">
        <x:v>未开始</x:v>
      </x:c>
      <x:c r="F9" s="34" t="str"/>
    </x:row>
    <x:row r="10" ht="27" customHeight="1">
      <x:c r="A10" s="32" t="str">
        <x:v>衣物</x:v>
      </x:c>
      <x:c r="B10" s="32" t="str">
        <x:v>卫衣／毛衣</x:v>
      </x:c>
      <x:c r="C10" s="32" t="str">
        <x:v>2件</x:v>
      </x:c>
      <x:c r="D10" s="32" t="str">
        <x:v>P1</x:v>
      </x:c>
      <x:c r="E10" s="32" t="str">
        <x:v>未开始</x:v>
      </x:c>
      <x:c r="F10" s="34" t="str"/>
    </x:row>
    <x:row r="11" ht="27" customHeight="1">
      <x:c r="A11" s="32" t="str">
        <x:v>衣物</x:v>
      </x:c>
      <x:c r="B11" s="32" t="str">
        <x:v>稍厚外套</x:v>
      </x:c>
      <x:c r="C11" s="32" t="str">
        <x:v>1件</x:v>
      </x:c>
      <x:c r="D11" s="32" t="str">
        <x:v>P1</x:v>
      </x:c>
      <x:c r="E11" s="32" t="str">
        <x:v>未开始</x:v>
      </x:c>
      <x:c r="F11" s="34" t="str">
        <x:v>LA 冬季一般不需多件重型羽绒服</x:v>
      </x:c>
    </x:row>
    <x:row r="12" ht="27" customHeight="1">
      <x:c r="A12" s="32" t="str">
        <x:v>衣物</x:v>
      </x:c>
      <x:c r="B12" s="32" t="str">
        <x:v>长裤</x:v>
      </x:c>
      <x:c r="C12" s="32" t="str">
        <x:v>2条</x:v>
      </x:c>
      <x:c r="D12" s="32" t="str">
        <x:v>P1</x:v>
      </x:c>
      <x:c r="E12" s="32" t="str">
        <x:v>未开始</x:v>
      </x:c>
      <x:c r="F12" s="34" t="str"/>
    </x:row>
    <x:row r="13" ht="27" customHeight="1">
      <x:c r="A13" s="32" t="str">
        <x:v>衣物</x:v>
      </x:c>
      <x:c r="B13" s="32" t="str">
        <x:v>短裤</x:v>
      </x:c>
      <x:c r="C13" s="32" t="str">
        <x:v>2条</x:v>
      </x:c>
      <x:c r="D13" s="32" t="str">
        <x:v>P2</x:v>
      </x:c>
      <x:c r="E13" s="32" t="str">
        <x:v>未开始</x:v>
      </x:c>
      <x:c r="F13" s="34" t="str"/>
    </x:row>
    <x:row r="14" ht="27" customHeight="1">
      <x:c r="A14" s="32" t="str">
        <x:v>衣物</x:v>
      </x:c>
      <x:c r="B14" s="32" t="str">
        <x:v>内裤</x:v>
      </x:c>
      <x:c r="C14" s="32" t="str">
        <x:v>5条</x:v>
      </x:c>
      <x:c r="D14" s="32" t="str">
        <x:v>P1</x:v>
      </x:c>
      <x:c r="E14" s="32" t="str">
        <x:v>未开始</x:v>
      </x:c>
      <x:c r="F14" s="34" t="str">
        <x:v>补充换洗</x:v>
      </x:c>
    </x:row>
    <x:row r="15" ht="27" customHeight="1">
      <x:c r="A15" s="32" t="str">
        <x:v>衣物</x:v>
      </x:c>
      <x:c r="B15" s="32" t="str">
        <x:v>袜子</x:v>
      </x:c>
      <x:c r="C15" s="32" t="str">
        <x:v>5双</x:v>
      </x:c>
      <x:c r="D15" s="32" t="str">
        <x:v>P1</x:v>
      </x:c>
      <x:c r="E15" s="32" t="str">
        <x:v>未开始</x:v>
      </x:c>
      <x:c r="F15" s="34" t="str">
        <x:v>补充换洗</x:v>
      </x:c>
    </x:row>
    <x:row r="16" ht="27" customHeight="1">
      <x:c r="A16" s="32" t="str">
        <x:v>衣物</x:v>
      </x:c>
      <x:c r="B16" s="32" t="str">
        <x:v>睡衣</x:v>
      </x:c>
      <x:c r="C16" s="32" t="str">
        <x:v>1套</x:v>
      </x:c>
      <x:c r="D16" s="32" t="str">
        <x:v>P1</x:v>
      </x:c>
      <x:c r="E16" s="32" t="str">
        <x:v>未开始</x:v>
      </x:c>
      <x:c r="F16" s="34" t="str"/>
    </x:row>
    <x:row r="17" ht="27" customHeight="1">
      <x:c r="A17" s="32" t="str">
        <x:v>运动</x:v>
      </x:c>
      <x:c r="B17" s="32" t="str">
        <x:v>运动服</x:v>
      </x:c>
      <x:c r="C17" s="32" t="str">
        <x:v>2套</x:v>
      </x:c>
      <x:c r="D17" s="32" t="str">
        <x:v>P1</x:v>
      </x:c>
      <x:c r="E17" s="32" t="str">
        <x:v>未开始</x:v>
      </x:c>
      <x:c r="F17" s="34" t="str"/>
    </x:row>
    <x:row r="18" ht="27" customHeight="1">
      <x:c r="A18" s="32" t="str">
        <x:v>鞋履</x:v>
      </x:c>
      <x:c r="B18" s="32" t="str">
        <x:v>备用运动鞋</x:v>
      </x:c>
      <x:c r="C18" s="32" t="str">
        <x:v>1双</x:v>
      </x:c>
      <x:c r="D18" s="32" t="str">
        <x:v>P1</x:v>
      </x:c>
      <x:c r="E18" s="32" t="str">
        <x:v>未开始</x:v>
      </x:c>
      <x:c r="F18" s="34" t="str">
        <x:v>鞋内可放袜子节约空间</x:v>
      </x:c>
    </x:row>
    <x:row r="19" ht="27" customHeight="1">
      <x:c r="A19" s="32" t="str">
        <x:v>鞋履</x:v>
      </x:c>
      <x:c r="B19" s="32" t="str">
        <x:v>稍正式的鞋</x:v>
      </x:c>
      <x:c r="C19" s="32" t="str">
        <x:v>1双</x:v>
      </x:c>
      <x:c r="D19" s="32" t="str">
        <x:v>P2</x:v>
      </x:c>
      <x:c r="E19" s="32" t="str">
        <x:v>未开始</x:v>
      </x:c>
      <x:c r="F19" s="34" t="str">
        <x:v>有余量再带</x:v>
      </x:c>
    </x:row>
    <x:row r="20" ht="27" customHeight="1">
      <x:c r="A20" s="32" t="str">
        <x:v>职业</x:v>
      </x:c>
      <x:c r="B20" s="32" t="str">
        <x:v>商务休闲服装</x:v>
      </x:c>
      <x:c r="C20" s="32" t="str">
        <x:v>1套</x:v>
      </x:c>
      <x:c r="D20" s="32" t="str">
        <x:v>P1</x:v>
      </x:c>
      <x:c r="E20" s="32" t="str">
        <x:v>未开始</x:v>
      </x:c>
      <x:c r="F20" s="34" t="str">
        <x:v>课堂展示、Networking、面试</x:v>
      </x:c>
    </x:row>
    <x:row r="21" ht="27" customHeight="1">
      <x:c r="A21" s="32" t="str">
        <x:v>配饰</x:v>
      </x:c>
      <x:c r="B21" s="32" t="str">
        <x:v>帽子</x:v>
      </x:c>
      <x:c r="C21" s="32" t="str">
        <x:v>1顶</x:v>
      </x:c>
      <x:c r="D21" s="32" t="str">
        <x:v>P2</x:v>
      </x:c>
      <x:c r="E21" s="32" t="str">
        <x:v>未开始</x:v>
      </x:c>
      <x:c r="F21" s="34" t="str"/>
    </x:row>
    <x:row r="22" ht="27" customHeight="1">
      <x:c r="A22" s="32" t="str">
        <x:v>配饰</x:v>
      </x:c>
      <x:c r="B22" s="32" t="str">
        <x:v>太阳镜</x:v>
      </x:c>
      <x:c r="C22" s="32" t="str">
        <x:v>1副</x:v>
      </x:c>
      <x:c r="D22" s="32" t="str">
        <x:v>P2</x:v>
      </x:c>
      <x:c r="E22" s="32" t="str">
        <x:v>未开始</x:v>
      </x:c>
      <x:c r="F22" s="34" t="str"/>
    </x:row>
    <x:row r="23" ht="27" customHeight="1">
      <x:c r="A23" s="32" t="str">
        <x:v>健康</x:v>
      </x:c>
      <x:c r="B23" s="32" t="str">
        <x:v>备用眼镜（如需）</x:v>
      </x:c>
      <x:c r="C23" s="32" t="str">
        <x:v>1副</x:v>
      </x:c>
      <x:c r="D23" s="32" t="str">
        <x:v>P1</x:v>
      </x:c>
      <x:c r="E23" s="32" t="str">
        <x:v>未开始</x:v>
      </x:c>
      <x:c r="F23" s="34" t="str">
        <x:v>最好有眼镜盒</x:v>
      </x:c>
    </x:row>
    <x:row r="24" ht="27" customHeight="1">
      <x:c r="A24" s="32" t="str">
        <x:v>个人护理</x:v>
      </x:c>
      <x:c r="B24" s="32" t="str">
        <x:v>个人偏好的护肤品补充装</x:v>
      </x:c>
      <x:c r="C24" s="32" t="str">
        <x:v>少量</x:v>
      </x:c>
      <x:c r="D24" s="32" t="str">
        <x:v>P2</x:v>
      </x:c>
      <x:c r="E24" s="32" t="str">
        <x:v>未开始</x:v>
      </x:c>
      <x:c r="F24" s="34" t="str">
        <x:v>注意液体与重量</x:v>
      </x:c>
    </x:row>
    <x:row r="25" ht="27" customHeight="1">
      <x:c r="A25" s="32" t="str">
        <x:v>电子配件</x:v>
      </x:c>
      <x:c r="B25" s="32" t="str">
        <x:v>备用配件（无备用锂电池）</x:v>
      </x:c>
      <x:c r="C25" s="32" t="str">
        <x:v>按需</x:v>
      </x:c>
      <x:c r="D25" s="32" t="str">
        <x:v>P2</x:v>
      </x:c>
      <x:c r="E25" s="32" t="str">
        <x:v>未开始</x:v>
      </x:c>
      <x:c r="F25" s="34" t="str">
        <x:v>备用电池必须随身</x:v>
      </x:c>
    </x:row>
    <x:row r="26" ht="27" customHeight="1">
      <x:c r="A26" s="32" t="str">
        <x:v>生活</x:v>
      </x:c>
      <x:c r="B26" s="32" t="str">
        <x:v>轻便购物袋</x:v>
      </x:c>
      <x:c r="C26" s="32" t="str">
        <x:v>2个</x:v>
      </x:c>
      <x:c r="D26" s="32" t="str">
        <x:v>P2</x:v>
      </x:c>
      <x:c r="E26" s="32" t="str">
        <x:v>未开始</x:v>
      </x:c>
      <x:c r="F26" s="34" t="str"/>
    </x:row>
    <x:row r="27" ht="27" customHeight="1">
      <x:c r="A27" s="32" t="str">
        <x:v>其他</x:v>
      </x:c>
      <x:c r="B27" s="32" t="str">
        <x:v>特殊个人用品</x:v>
      </x:c>
      <x:c r="C27" s="32" t="str">
        <x:v>按需</x:v>
      </x:c>
      <x:c r="D27" s="32" t="str">
        <x:v>P2</x:v>
      </x:c>
      <x:c r="E27" s="32" t="str">
        <x:v>未开始</x:v>
      </x:c>
      <x:c r="F27" s="34" t="str">
        <x:v>确有需要再放入</x:v>
      </x:c>
    </x:row>
  </x:sheetData>
  <x:mergeCells>
    <x:mergeCell ref="A1:F1"/>
    <x:mergeCell ref="A2:F2"/>
    <x:mergeCell ref="A6:F6"/>
    <x:mergeCell ref="H2:J2"/>
    <x:mergeCell ref="H7:J7"/>
  </x:mergeCells>
  <x:conditionalFormatting sqref="E8:E27">
    <x:cfRule type="expression" dxfId="7" priority="1">
      <x:formula>E8="已完成"</x:formula>
    </x:cfRule>
    <x:cfRule type="expression" dxfId="8" priority="2">
      <x:formula>E8="准备中"</x:formula>
    </x:cfRule>
  </x:conditionalFormatting>
  <x:conditionalFormatting sqref="D8:D27">
    <x:cfRule type="expression" dxfId="9" priority="3">
      <x:formula>D8="P0"</x:formula>
    </x:cfRule>
  </x:conditionalFormatting>
  <x:conditionalFormatting sqref="F4:F4">
    <x:cfRule type="dataBar" priority="4">
      <x:dataBar>
        <x:cfvo type="min"/>
        <x:cfvo type="max"/>
        <x:color rgb="FF087F76"/>
      </x:dataBar>
      <x:extLst>
        <x:ext xmlns:x14="http://schemas.microsoft.com/office/spreadsheetml/2009/9/main" uri="{B025F937-C7B1-47D3-B67F-A62EFF666E3E}">
          <x14:id>{86EA00FA-7787-D7E4-0B3D-CDAA6F28A945}</x14:id>
        </x:ext>
      </x:extLst>
    </x:cfRule>
  </x:conditionalFormatting>
  <x:conditionalFormatting sqref="I5:I5">
    <x:cfRule type="cellIs" dxfId="10" priority="5" operator="lessThan">
      <x:formula>0</x:formula>
    </x:cfRule>
  </x:conditionalFormatting>
  <x:dataValidations count="1">
    <x:dataValidation type="list" sqref="E8:E27">
      <x:formula1>"未开始,准备中,已完成"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86EA00FA-7787-D7E4-0B3D-CDAA6F28A945}">
            <x14:dataBar gradient="0">
              <x14:cfvo type="min"/>
              <x14:cfvo type="max"/>
              <x14:fillColor rgb="FF087F76"/>
            </x14:dataBar>
          </x14:cfRule>
          <xm:sqref>F4:F4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41" hidden="0" customWidth="1"/>
    <x:col min="3" max="3" width="15" hidden="0" customWidth="1"/>
    <x:col min="4" max="4" width="12" hidden="0" customWidth="1"/>
    <x:col min="5" max="5" width="16" hidden="0" customWidth="1"/>
    <x:col min="6" max="6" width="62" hidden="0" customWidth="1"/>
  </x:cols>
  <x:sheetData>
    <x:row r="1" ht="36" customHeight="1">
      <x:c r="A1" s="4" t="str">
        <x:v>美国采购  |  USC · Los Angeles</x:v>
      </x:c>
      <x:c r="B1" s="4"/>
      <x:c r="C1" s="4"/>
      <x:c r="D1" s="4"/>
      <x:c r="E1" s="4"/>
      <x:c r="F1" s="4"/>
    </x:row>
    <x:row r="2" ht="28" customHeight="1">
      <x:c r="A2" s="10" t="str">
        <x:v>校外公寓先确认是否带家具、床垫、厨具。</x:v>
      </x:c>
      <x:c r="B2" s="10"/>
      <x:c r="C2" s="10"/>
      <x:c r="D2" s="10"/>
      <x:c r="E2" s="10"/>
      <x:c r="F2" s="10"/>
    </x:row>
    <x:row r="4" ht="23" customHeight="1">
      <x:c r="A4" s="14" t="str">
        <x:v>总项数</x:v>
      </x:c>
      <x:c r="B4" s="18" t="n">
        <x:f>COUNTA(B8:B26)</x:f>
        <x:v>19</x:v>
      </x:c>
      <x:c r="C4" s="14" t="str">
        <x:v>已完成</x:v>
      </x:c>
      <x:c r="D4" s="18" t="n">
        <x:f>COUNTIF(E8:E26,"已完成")</x:f>
        <x:v>0</x:v>
      </x:c>
      <x:c r="E4" s="14" t="str">
        <x:v>完成率</x:v>
      </x:c>
      <x:c r="F4" s="20" t="n">
        <x:f>IFERROR(D4/B4,0)</x:f>
        <x:v>0</x:v>
      </x:c>
    </x:row>
    <x:row r="6" ht="25" customHeight="1">
      <x:c r="A6" s="22" t="str">
        <x:v>状态下拉选择：未开始 / 准备中 / 已完成    ·    P0 必带   P1 建议   P2 可选</x:v>
      </x:c>
      <x:c r="B6" s="22"/>
      <x:c r="C6" s="22"/>
      <x:c r="D6" s="22"/>
      <x:c r="E6" s="22"/>
      <x:c r="F6" s="22"/>
    </x:row>
    <x:row r="7" ht="28" customHeight="1">
      <x:c r="A7" s="26" t="str">
        <x:v>类别</x:v>
      </x:c>
      <x:c r="B7" s="26" t="str">
        <x:v>物品</x:v>
      </x:c>
      <x:c r="C7" s="26" t="str">
        <x:v>数量</x:v>
      </x:c>
      <x:c r="D7" s="26" t="str">
        <x:v>优先级</x:v>
      </x:c>
      <x:c r="E7" s="26" t="str">
        <x:v>状态 ▼</x:v>
      </x:c>
      <x:c r="F7" s="26" t="str">
        <x:v>备注 / 操作提示</x:v>
      </x:c>
    </x:row>
    <x:row r="8" ht="27" customHeight="1">
      <x:c r="A8" s="32" t="str">
        <x:v>卧室</x:v>
      </x:c>
      <x:c r="B8" s="32" t="str">
        <x:v>枕头</x:v>
      </x:c>
      <x:c r="C8" s="32" t="str">
        <x:v>1个</x:v>
      </x:c>
      <x:c r="D8" s="32" t="str">
        <x:v>P0</x:v>
      </x:c>
      <x:c r="E8" s="32" t="str">
        <x:v>未开始</x:v>
      </x:c>
      <x:c r="F8" s="34" t="str">
        <x:v>抵达当天；先确认公寓是否提供</x:v>
      </x:c>
    </x:row>
    <x:row r="9" ht="27" customHeight="1">
      <x:c r="A9" s="32" t="str">
        <x:v>卧室</x:v>
      </x:c>
      <x:c r="B9" s="32" t="str">
        <x:v>被子／被芯</x:v>
      </x:c>
      <x:c r="C9" s="32" t="str">
        <x:v>1条</x:v>
      </x:c>
      <x:c r="D9" s="32" t="str">
        <x:v>P0</x:v>
      </x:c>
      <x:c r="E9" s="32" t="str">
        <x:v>未开始</x:v>
      </x:c>
      <x:c r="F9" s="34" t="str">
        <x:v>抵达当天；确认季节与床型</x:v>
      </x:c>
    </x:row>
    <x:row r="10" ht="27" customHeight="1">
      <x:c r="A10" s="32" t="str">
        <x:v>卧室</x:v>
      </x:c>
      <x:c r="B10" s="32" t="str">
        <x:v>床单、被套、枕套</x:v>
      </x:c>
      <x:c r="C10" s="32" t="str">
        <x:v>1–2套</x:v>
      </x:c>
      <x:c r="D10" s="32" t="str">
        <x:v>P0</x:v>
      </x:c>
      <x:c r="E10" s="32" t="str">
        <x:v>未开始</x:v>
      </x:c>
      <x:c r="F10" s="34" t="str">
        <x:v>按床垫尺寸购买</x:v>
      </x:c>
    </x:row>
    <x:row r="11" ht="27" customHeight="1">
      <x:c r="A11" s="32" t="str">
        <x:v>卧室</x:v>
      </x:c>
      <x:c r="B11" s="32" t="str">
        <x:v>床垫保护套</x:v>
      </x:c>
      <x:c r="C11" s="32" t="str">
        <x:v>1个</x:v>
      </x:c>
      <x:c r="D11" s="32" t="str">
        <x:v>P1</x:v>
      </x:c>
      <x:c r="E11" s="32" t="str">
        <x:v>未开始</x:v>
      </x:c>
      <x:c r="F11" s="34" t="str">
        <x:v>入住首周</x:v>
      </x:c>
    </x:row>
    <x:row r="12" ht="27" customHeight="1">
      <x:c r="A12" s="32" t="str">
        <x:v>衣物收纳</x:v>
      </x:c>
      <x:c r="B12" s="32" t="str">
        <x:v>衣架</x:v>
      </x:c>
      <x:c r="C12" s="32" t="str">
        <x:v>15–20个</x:v>
      </x:c>
      <x:c r="D12" s="32" t="str">
        <x:v>P1</x:v>
      </x:c>
      <x:c r="E12" s="32" t="str">
        <x:v>未开始</x:v>
      </x:c>
      <x:c r="F12" s="34" t="str">
        <x:v>入住首周</x:v>
      </x:c>
    </x:row>
    <x:row r="13" ht="27" customHeight="1">
      <x:c r="A13" s="32" t="str">
        <x:v>洗衣</x:v>
      </x:c>
      <x:c r="B13" s="32" t="str">
        <x:v>洗衣液</x:v>
      </x:c>
      <x:c r="C13" s="32" t="str">
        <x:v>1瓶</x:v>
      </x:c>
      <x:c r="D13" s="32" t="str">
        <x:v>P1</x:v>
      </x:c>
      <x:c r="E13" s="32" t="str">
        <x:v>未开始</x:v>
      </x:c>
      <x:c r="F13" s="34" t="str">
        <x:v>入住首周</x:v>
      </x:c>
    </x:row>
    <x:row r="14" ht="27" customHeight="1">
      <x:c r="A14" s="32" t="str">
        <x:v>洗漱</x:v>
      </x:c>
      <x:c r="B14" s="32" t="str">
        <x:v>洗发水、沐浴露大瓶装</x:v>
      </x:c>
      <x:c r="C14" s="32" t="str">
        <x:v>各1</x:v>
      </x:c>
      <x:c r="D14" s="32" t="str">
        <x:v>P1</x:v>
      </x:c>
      <x:c r="E14" s="32" t="str">
        <x:v>未开始</x:v>
      </x:c>
      <x:c r="F14" s="34" t="str">
        <x:v>抵达后补充</x:v>
      </x:c>
    </x:row>
    <x:row r="15" ht="27" customHeight="1">
      <x:c r="A15" s="32" t="str">
        <x:v>日用</x:v>
      </x:c>
      <x:c r="B15" s="32" t="str">
        <x:v>纸巾、卫生纸</x:v>
      </x:c>
      <x:c r="C15" s="32" t="str">
        <x:v>1批</x:v>
      </x:c>
      <x:c r="D15" s="32" t="str">
        <x:v>P0</x:v>
      </x:c>
      <x:c r="E15" s="32" t="str">
        <x:v>未开始</x:v>
      </x:c>
      <x:c r="F15" s="34" t="str">
        <x:v>抵达当天</x:v>
      </x:c>
    </x:row>
    <x:row r="16" ht="27" customHeight="1">
      <x:c r="A16" s="32" t="str">
        <x:v>日用</x:v>
      </x:c>
      <x:c r="B16" s="32" t="str">
        <x:v>垃圾桶、垃圾袋</x:v>
      </x:c>
      <x:c r="C16" s="32" t="str">
        <x:v>1套</x:v>
      </x:c>
      <x:c r="D16" s="32" t="str">
        <x:v>P1</x:v>
      </x:c>
      <x:c r="E16" s="32" t="str">
        <x:v>未开始</x:v>
      </x:c>
      <x:c r="F16" s="34" t="str">
        <x:v>入住首周</x:v>
      </x:c>
    </x:row>
    <x:row r="17" ht="27" customHeight="1">
      <x:c r="A17" s="32" t="str">
        <x:v>浴室</x:v>
      </x:c>
      <x:c r="B17" s="32" t="str">
        <x:v>浴帘、防滑垫（按需）</x:v>
      </x:c>
      <x:c r="C17" s="32" t="str">
        <x:v>按需</x:v>
      </x:c>
      <x:c r="D17" s="32" t="str">
        <x:v>P1</x:v>
      </x:c>
      <x:c r="E17" s="32" t="str">
        <x:v>未开始</x:v>
      </x:c>
      <x:c r="F17" s="34" t="str">
        <x:v>先查看公寓配置</x:v>
      </x:c>
    </x:row>
    <x:row r="18" ht="27" customHeight="1">
      <x:c r="A18" s="32" t="str">
        <x:v>清洁</x:v>
      </x:c>
      <x:c r="B18" s="32" t="str">
        <x:v>扫把、拖把、清洁剂</x:v>
      </x:c>
      <x:c r="C18" s="32" t="str">
        <x:v>1套</x:v>
      </x:c>
      <x:c r="D18" s="32" t="str">
        <x:v>P1</x:v>
      </x:c>
      <x:c r="E18" s="32" t="str">
        <x:v>未开始</x:v>
      </x:c>
      <x:c r="F18" s="34" t="str">
        <x:v>首周按需购买</x:v>
      </x:c>
    </x:row>
    <x:row r="19" ht="27" customHeight="1">
      <x:c r="A19" s="32" t="str">
        <x:v>厨房</x:v>
      </x:c>
      <x:c r="B19" s="32" t="str">
        <x:v>锅、平底锅及厨具</x:v>
      </x:c>
      <x:c r="C19" s="32" t="str">
        <x:v>1套</x:v>
      </x:c>
      <x:c r="D19" s="32" t="str">
        <x:v>P1</x:v>
      </x:c>
      <x:c r="E19" s="32" t="str">
        <x:v>未开始</x:v>
      </x:c>
      <x:c r="F19" s="34" t="str">
        <x:v>确认租房是否带厨具</x:v>
      </x:c>
    </x:row>
    <x:row r="20" ht="27" customHeight="1">
      <x:c r="A20" s="32" t="str">
        <x:v>厨房</x:v>
      </x:c>
      <x:c r="B20" s="32" t="str">
        <x:v>餐具、碗、杯子</x:v>
      </x:c>
      <x:c r="C20" s="32" t="str">
        <x:v>1套</x:v>
      </x:c>
      <x:c r="D20" s="32" t="str">
        <x:v>P1</x:v>
      </x:c>
      <x:c r="E20" s="32" t="str">
        <x:v>未开始</x:v>
      </x:c>
      <x:c r="F20" s="34" t="str"/>
    </x:row>
    <x:row r="21" ht="27" customHeight="1">
      <x:c r="A21" s="32" t="str">
        <x:v>厨房</x:v>
      </x:c>
      <x:c r="B21" s="32" t="str">
        <x:v>美国电压电饭煲（如需）</x:v>
      </x:c>
      <x:c r="C21" s="32" t="str">
        <x:v>1个</x:v>
      </x:c>
      <x:c r="D21" s="32" t="str">
        <x:v>P2</x:v>
      </x:c>
      <x:c r="E21" s="32" t="str">
        <x:v>未开始</x:v>
      </x:c>
      <x:c r="F21" s="34" t="str">
        <x:v>确保适用 120V</x:v>
      </x:c>
    </x:row>
    <x:row r="22" ht="27" customHeight="1">
      <x:c r="A22" s="32" t="str">
        <x:v>电子</x:v>
      </x:c>
      <x:c r="B22" s="32" t="str">
        <x:v>美标排插</x:v>
      </x:c>
      <x:c r="C22" s="32" t="str">
        <x:v>1个</x:v>
      </x:c>
      <x:c r="D22" s="32" t="str">
        <x:v>P1</x:v>
      </x:c>
      <x:c r="E22" s="32" t="str">
        <x:v>未开始</x:v>
      </x:c>
      <x:c r="F22" s="34" t="str">
        <x:v>购买符合美国标准产品</x:v>
      </x:c>
    </x:row>
    <x:row r="23" ht="27" customHeight="1">
      <x:c r="A23" s="32" t="str">
        <x:v>学习</x:v>
      </x:c>
      <x:c r="B23" s="32" t="str">
        <x:v>台灯</x:v>
      </x:c>
      <x:c r="C23" s="32" t="str">
        <x:v>1个</x:v>
      </x:c>
      <x:c r="D23" s="32" t="str">
        <x:v>P2</x:v>
      </x:c>
      <x:c r="E23" s="32" t="str">
        <x:v>未开始</x:v>
      </x:c>
      <x:c r="F23" s="34" t="str">
        <x:v>如果公寓光线不足再买</x:v>
      </x:c>
    </x:row>
    <x:row r="24" ht="27" customHeight="1">
      <x:c r="A24" s="32" t="str">
        <x:v>收纳</x:v>
      </x:c>
      <x:c r="B24" s="32" t="str">
        <x:v>衣物收纳箱</x:v>
      </x:c>
      <x:c r="C24" s="32" t="str">
        <x:v>1–2个</x:v>
      </x:c>
      <x:c r="D24" s="32" t="str">
        <x:v>P2</x:v>
      </x:c>
      <x:c r="E24" s="32" t="str">
        <x:v>未开始</x:v>
      </x:c>
      <x:c r="F24" s="34" t="str">
        <x:v>入住后量尺寸</x:v>
      </x:c>
    </x:row>
    <x:row r="25" ht="27" customHeight="1">
      <x:c r="A25" s="32" t="str">
        <x:v>洗衣</x:v>
      </x:c>
      <x:c r="B25" s="32" t="str">
        <x:v>洗衣篮</x:v>
      </x:c>
      <x:c r="C25" s="32" t="str">
        <x:v>1个</x:v>
      </x:c>
      <x:c r="D25" s="32" t="str">
        <x:v>P2</x:v>
      </x:c>
      <x:c r="E25" s="32" t="str">
        <x:v>未开始</x:v>
      </x:c>
      <x:c r="F25" s="34" t="str"/>
    </x:row>
    <x:row r="26" ht="27" customHeight="1">
      <x:c r="A26" s="32" t="str">
        <x:v>食品</x:v>
      </x:c>
      <x:c r="B26" s="32" t="str">
        <x:v>首周食品、饮用水、生活杂货</x:v>
      </x:c>
      <x:c r="C26" s="32" t="str">
        <x:v>1批</x:v>
      </x:c>
      <x:c r="D26" s="32" t="str">
        <x:v>P0</x:v>
      </x:c>
      <x:c r="E26" s="32" t="str">
        <x:v>未开始</x:v>
      </x:c>
      <x:c r="F26" s="34" t="str">
        <x:v>抵达当日最实用</x:v>
      </x:c>
    </x:row>
  </x:sheetData>
  <x:mergeCells>
    <x:mergeCell ref="A1:F1"/>
    <x:mergeCell ref="A2:F2"/>
    <x:mergeCell ref="A6:F6"/>
  </x:mergeCells>
  <x:conditionalFormatting sqref="E8:E26">
    <x:cfRule type="expression" dxfId="11" priority="1">
      <x:formula>E8="已完成"</x:formula>
    </x:cfRule>
    <x:cfRule type="expression" dxfId="12" priority="2">
      <x:formula>E8="准备中"</x:formula>
    </x:cfRule>
  </x:conditionalFormatting>
  <x:conditionalFormatting sqref="D8:D26">
    <x:cfRule type="expression" dxfId="13" priority="3">
      <x:formula>D8="P0"</x:formula>
    </x:cfRule>
  </x:conditionalFormatting>
  <x:conditionalFormatting sqref="F4:F4">
    <x:cfRule type="dataBar" priority="4">
      <x:dataBar>
        <x:cfvo type="min"/>
        <x:cfvo type="max"/>
        <x:color rgb="FF087F76"/>
      </x:dataBar>
      <x:extLst>
        <x:ext xmlns:x14="http://schemas.microsoft.com/office/spreadsheetml/2009/9/main" uri="{B025F937-C7B1-47D3-B67F-A62EFF666E3E}">
          <x14:id>{AE52D895-EC7A-4F8A-8BD1-186F821DBF6F}</x14:id>
        </x:ext>
      </x:extLst>
    </x:cfRule>
  </x:conditionalFormatting>
  <x:dataValidations count="1">
    <x:dataValidation type="list" sqref="E8:E26">
      <x:formula1>"未开始,准备中,已完成"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AE52D895-EC7A-4F8A-8BD1-186F821DBF6F}">
            <x14:dataBar gradient="0">
              <x14:cfvo type="min"/>
              <x14:cfvo type="max"/>
              <x14:fillColor rgb="FF087F76"/>
            </x14:dataBar>
          </x14:cfRule>
          <xm:sqref>F4:F4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41" hidden="0" customWidth="1"/>
    <x:col min="3" max="3" width="15" hidden="0" customWidth="1"/>
    <x:col min="4" max="4" width="12" hidden="0" customWidth="1"/>
    <x:col min="5" max="5" width="16" hidden="0" customWidth="1"/>
    <x:col min="6" max="6" width="62" hidden="0" customWidth="1"/>
  </x:cols>
  <x:sheetData>
    <x:row r="1" ht="36" customHeight="1">
      <x:c r="A1" s="4" t="str">
        <x:v>出发检查  |  USC · Los Angeles</x:v>
      </x:c>
      <x:c r="B1" s="4"/>
      <x:c r="C1" s="4"/>
      <x:c r="D1" s="4"/>
      <x:c r="E1" s="4"/>
      <x:c r="F1" s="4"/>
    </x:row>
    <x:row r="2" ht="28" customHeight="1">
      <x:c r="A2" s="10" t="str">
        <x:v>2026-12-22 出发前完成；机票托运标准以实际航司为准。</x:v>
      </x:c>
      <x:c r="B2" s="10"/>
      <x:c r="C2" s="10"/>
      <x:c r="D2" s="10"/>
      <x:c r="E2" s="10"/>
      <x:c r="F2" s="10"/>
    </x:row>
    <x:row r="4" ht="23" customHeight="1">
      <x:c r="A4" s="14" t="str">
        <x:v>总项数</x:v>
      </x:c>
      <x:c r="B4" s="18" t="n">
        <x:f>COUNTA(B8:B22)</x:f>
        <x:v>15</x:v>
      </x:c>
      <x:c r="C4" s="14" t="str">
        <x:v>已完成</x:v>
      </x:c>
      <x:c r="D4" s="18" t="n">
        <x:f>COUNTIF(E8:E22,"已完成")</x:f>
        <x:v>0</x:v>
      </x:c>
      <x:c r="E4" s="14" t="str">
        <x:v>完成率</x:v>
      </x:c>
      <x:c r="F4" s="20" t="n">
        <x:f>IFERROR(D4/B4,0)</x:f>
        <x:v>0</x:v>
      </x:c>
    </x:row>
    <x:row r="6" ht="25" customHeight="1">
      <x:c r="A6" s="22" t="str">
        <x:v>状态下拉选择：未开始 / 准备中 / 已完成    ·    P0 必带   P1 建议   P2 可选</x:v>
      </x:c>
      <x:c r="B6" s="22"/>
      <x:c r="C6" s="22"/>
      <x:c r="D6" s="22"/>
      <x:c r="E6" s="22"/>
      <x:c r="F6" s="22"/>
    </x:row>
    <x:row r="7" ht="28" customHeight="1">
      <x:c r="A7" s="26" t="str">
        <x:v>类别</x:v>
      </x:c>
      <x:c r="B7" s="26" t="str">
        <x:v>物品</x:v>
      </x:c>
      <x:c r="C7" s="26" t="str">
        <x:v>数量</x:v>
      </x:c>
      <x:c r="D7" s="26" t="str">
        <x:v>优先级</x:v>
      </x:c>
      <x:c r="E7" s="26" t="str">
        <x:v>状态 ▼</x:v>
      </x:c>
      <x:c r="F7" s="26" t="str">
        <x:v>备注 / 操作提示</x:v>
      </x:c>
    </x:row>
    <x:row r="8" ht="27" customHeight="1">
      <x:c r="A8" s="32" t="str">
        <x:v>入境</x:v>
      </x:c>
      <x:c r="B8" s="32" t="str">
        <x:v>确认 I-20 最早允许入境日期</x:v>
      </x:c>
      <x:c r="C8" s="32" t="str">
        <x:v>1项</x:v>
      </x:c>
      <x:c r="D8" s="32" t="str">
        <x:v>P0</x:v>
      </x:c>
      <x:c r="E8" s="32" t="str">
        <x:v>未开始</x:v>
      </x:c>
      <x:c r="F8" s="34" t="str">
        <x:v>12/22出发前必须符合入境时间要求</x:v>
      </x:c>
    </x:row>
    <x:row r="9" ht="27" customHeight="1">
      <x:c r="A9" s="32" t="str">
        <x:v>航司</x:v>
      </x:c>
      <x:c r="B9" s="32" t="str">
        <x:v>确认机票允许托运两件行李</x:v>
      </x:c>
      <x:c r="C9" s="32" t="str">
        <x:v>1项</x:v>
      </x:c>
      <x:c r="D9" s="32" t="str">
        <x:v>P0</x:v>
      </x:c>
      <x:c r="E9" s="32" t="str">
        <x:v>未开始</x:v>
      </x:c>
      <x:c r="F9" s="34" t="str">
        <x:v>不同航司与票价不同</x:v>
      </x:c>
    </x:row>
    <x:row r="10" ht="27" customHeight="1">
      <x:c r="A10" s="32" t="str">
        <x:v>航司</x:v>
      </x:c>
      <x:c r="B10" s="32" t="str">
        <x:v>测量28寸箱外部三边</x:v>
      </x:c>
      <x:c r="C10" s="32" t="str">
        <x:v>1项</x:v>
      </x:c>
      <x:c r="D10" s="32" t="str">
        <x:v>P0</x:v>
      </x:c>
      <x:c r="E10" s="32" t="str">
        <x:v>未开始</x:v>
      </x:c>
      <x:c r="F10" s="34" t="str">
        <x:v>轮子和把手计入尺寸</x:v>
      </x:c>
    </x:row>
    <x:row r="11" ht="27" customHeight="1">
      <x:c r="A11" s="32" t="str">
        <x:v>航司</x:v>
      </x:c>
      <x:c r="B11" s="32" t="str">
        <x:v>分别称重26寸与28寸箱</x:v>
      </x:c>
      <x:c r="C11" s="32" t="str">
        <x:v>2件</x:v>
      </x:c>
      <x:c r="D11" s="32" t="str">
        <x:v>P0</x:v>
      </x:c>
      <x:c r="E11" s="32" t="str">
        <x:v>未开始</x:v>
      </x:c>
      <x:c r="F11" s="34" t="str">
        <x:v>先按每件不超过23kg规划，最终以航司为准</x:v>
      </x:c>
    </x:row>
    <x:row r="12" ht="27" customHeight="1">
      <x:c r="A12" s="32" t="str">
        <x:v>证件</x:v>
      </x:c>
      <x:c r="B12" s="32" t="str">
        <x:v>核对护照、签证和入境文件</x:v>
      </x:c>
      <x:c r="C12" s="32" t="str">
        <x:v>1项</x:v>
      </x:c>
      <x:c r="D12" s="32" t="str">
        <x:v>P0</x:v>
      </x:c>
      <x:c r="E12" s="32" t="str">
        <x:v>未开始</x:v>
      </x:c>
      <x:c r="F12" s="34" t="str">
        <x:v>原件随身，另备电子版</x:v>
      </x:c>
    </x:row>
    <x:row r="13" ht="27" customHeight="1">
      <x:c r="A13" s="32" t="str">
        <x:v>住房</x:v>
      </x:c>
      <x:c r="B13" s="32" t="str">
        <x:v>确认公寓有无家具、床垫、厨具</x:v>
      </x:c>
      <x:c r="C13" s="32" t="str">
        <x:v>1项</x:v>
      </x:c>
      <x:c r="D13" s="32" t="str">
        <x:v>P0</x:v>
      </x:c>
      <x:c r="E13" s="32" t="str">
        <x:v>未开始</x:v>
      </x:c>
      <x:c r="F13" s="34" t="str">
        <x:v>决定美国采购项目</x:v>
      </x:c>
    </x:row>
    <x:row r="14" ht="27" customHeight="1">
      <x:c r="A14" s="32" t="str">
        <x:v>住房</x:v>
      </x:c>
      <x:c r="B14" s="32" t="str">
        <x:v>确认入住时间及领取钥匙方式</x:v>
      </x:c>
      <x:c r="C14" s="32" t="str">
        <x:v>1项</x:v>
      </x:c>
      <x:c r="D14" s="32" t="str">
        <x:v>P0</x:v>
      </x:c>
      <x:c r="E14" s="32" t="str">
        <x:v>未开始</x:v>
      </x:c>
      <x:c r="F14" s="34" t="str"/>
    </x:row>
    <x:row r="15" ht="27" customHeight="1">
      <x:c r="A15" s="32" t="str">
        <x:v>交通</x:v>
      </x:c>
      <x:c r="B15" s="32" t="str">
        <x:v>安排 LAX 机场到公寓交通</x:v>
      </x:c>
      <x:c r="C15" s="32" t="str">
        <x:v>1项</x:v>
      </x:c>
      <x:c r="D15" s="32" t="str">
        <x:v>P0</x:v>
      </x:c>
      <x:c r="E15" s="32" t="str">
        <x:v>未开始</x:v>
      </x:c>
      <x:c r="F15" s="34" t="str">
        <x:v>特别注意落地当地日期与时间</x:v>
      </x:c>
    </x:row>
    <x:row r="16" ht="27" customHeight="1">
      <x:c r="A16" s="32" t="str">
        <x:v>通信</x:v>
      </x:c>
      <x:c r="B16" s="32" t="str">
        <x:v>安排手机漫游／美国 eSIM</x:v>
      </x:c>
      <x:c r="C16" s="32" t="str">
        <x:v>1项</x:v>
      </x:c>
      <x:c r="D16" s="32" t="str">
        <x:v>P0</x:v>
      </x:c>
      <x:c r="E16" s="32" t="str">
        <x:v>未开始</x:v>
      </x:c>
      <x:c r="F16" s="34" t="str">
        <x:v>保证落地能联网</x:v>
      </x:c>
    </x:row>
    <x:row r="17" ht="27" customHeight="1">
      <x:c r="A17" s="32" t="str">
        <x:v>支付</x:v>
      </x:c>
      <x:c r="B17" s="32" t="str">
        <x:v>确认银行卡可用于美国</x:v>
      </x:c>
      <x:c r="C17" s="32" t="str">
        <x:v>1项</x:v>
      </x:c>
      <x:c r="D17" s="32" t="str">
        <x:v>P0</x:v>
      </x:c>
      <x:c r="E17" s="32" t="str">
        <x:v>未开始</x:v>
      </x:c>
      <x:c r="F17" s="34" t="str"/>
    </x:row>
    <x:row r="18" ht="27" customHeight="1">
      <x:c r="A18" s="32" t="str">
        <x:v>数据</x:v>
      </x:c>
      <x:c r="B18" s="32" t="str">
        <x:v>备份手机和电脑重要资料</x:v>
      </x:c>
      <x:c r="C18" s="32" t="str">
        <x:v>1项</x:v>
      </x:c>
      <x:c r="D18" s="32" t="str">
        <x:v>P1</x:v>
      </x:c>
      <x:c r="E18" s="32" t="str">
        <x:v>未开始</x:v>
      </x:c>
      <x:c r="F18" s="34" t="str"/>
    </x:row>
    <x:row r="19" ht="27" customHeight="1">
      <x:c r="A19" s="32" t="str">
        <x:v>学校</x:v>
      </x:c>
      <x:c r="B19" s="32" t="str">
        <x:v>完成 USC 入学健康资料要求</x:v>
      </x:c>
      <x:c r="C19" s="32" t="str">
        <x:v>1项</x:v>
      </x:c>
      <x:c r="D19" s="32" t="str">
        <x:v>P0</x:v>
      </x:c>
      <x:c r="E19" s="32" t="str">
        <x:v>未开始</x:v>
      </x:c>
      <x:c r="F19" s="34" t="str">
        <x:v>以校方清单为准</x:v>
      </x:c>
    </x:row>
    <x:row r="20" ht="27" customHeight="1">
      <x:c r="A20" s="32" t="str">
        <x:v>海关</x:v>
      </x:c>
      <x:c r="B20" s="32" t="str">
        <x:v>核对药品、食品、申报要求</x:v>
      </x:c>
      <x:c r="C20" s="32" t="str">
        <x:v>1项</x:v>
      </x:c>
      <x:c r="D20" s="32" t="str">
        <x:v>P0</x:v>
      </x:c>
      <x:c r="E20" s="32" t="str">
        <x:v>未开始</x:v>
      </x:c>
      <x:c r="F20" s="34" t="str">
        <x:v>携带食品、农产品须按规定申报</x:v>
      </x:c>
    </x:row>
    <x:row r="21" ht="27" customHeight="1">
      <x:c r="A21" s="32" t="str">
        <x:v>行李</x:v>
      </x:c>
      <x:c r="B21" s="32" t="str">
        <x:v>行李箱挂姓名、邮箱及联系电话标签</x:v>
      </x:c>
      <x:c r="C21" s="32" t="str">
        <x:v>2件</x:v>
      </x:c>
      <x:c r="D21" s="32" t="str">
        <x:v>P1</x:v>
      </x:c>
      <x:c r="E21" s="32" t="str">
        <x:v>未开始</x:v>
      </x:c>
      <x:c r="F21" s="34" t="str">
        <x:v>不要对外公开多余个人信息</x:v>
      </x:c>
    </x:row>
    <x:row r="22" ht="27" customHeight="1">
      <x:c r="A22" s="32" t="str">
        <x:v>电池</x:v>
      </x:c>
      <x:c r="B22" s="32" t="str">
        <x:v>移动电源与备用锂电池全部随身</x:v>
      </x:c>
      <x:c r="C22" s="32" t="str">
        <x:v>1项</x:v>
      </x:c>
      <x:c r="D22" s="32" t="str">
        <x:v>P0</x:v>
      </x:c>
      <x:c r="E22" s="32" t="str">
        <x:v>未开始</x:v>
      </x:c>
      <x:c r="F22" s="34" t="str">
        <x:v>不要托运</x:v>
      </x:c>
    </x:row>
  </x:sheetData>
  <x:mergeCells>
    <x:mergeCell ref="A1:F1"/>
    <x:mergeCell ref="A2:F2"/>
    <x:mergeCell ref="A6:F6"/>
  </x:mergeCells>
  <x:conditionalFormatting sqref="E8:E22">
    <x:cfRule type="expression" dxfId="14" priority="1">
      <x:formula>E8="已完成"</x:formula>
    </x:cfRule>
    <x:cfRule type="expression" dxfId="15" priority="2">
      <x:formula>E8="准备中"</x:formula>
    </x:cfRule>
  </x:conditionalFormatting>
  <x:conditionalFormatting sqref="D8:D22">
    <x:cfRule type="expression" dxfId="16" priority="3">
      <x:formula>D8="P0"</x:formula>
    </x:cfRule>
  </x:conditionalFormatting>
  <x:conditionalFormatting sqref="F4:F4">
    <x:cfRule type="dataBar" priority="4">
      <x:dataBar>
        <x:cfvo type="min"/>
        <x:cfvo type="max"/>
        <x:color rgb="FF087F76"/>
      </x:dataBar>
      <x:extLst>
        <x:ext xmlns:x14="http://schemas.microsoft.com/office/spreadsheetml/2009/9/main" uri="{B025F937-C7B1-47D3-B67F-A62EFF666E3E}">
          <x14:id>{7CEA0FE5-C394-DE53-0F27-AEC019B84BA3}</x14:id>
        </x:ext>
      </x:extLst>
    </x:cfRule>
  </x:conditionalFormatting>
  <x:dataValidations count="1">
    <x:dataValidation type="list" sqref="E8:E22">
      <x:formula1>"未开始,准备中,已完成"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7CEA0FE5-C394-DE53-0F27-AEC019B84BA3}">
            <x14:dataBar gradient="0">
              <x14:cfvo type="min"/>
              <x14:cfvo type="max"/>
              <x14:fillColor rgb="FF087F76"/>
            </x14:dataBar>
          </x14:cfRule>
          <xm:sqref>F4:F4</xm:sqref>
        </x14:conditionalFormatting>
      </x14:conditionalFormattings>
    </x:ext>
  </x:extLst>
</x:worksheet>
</file>